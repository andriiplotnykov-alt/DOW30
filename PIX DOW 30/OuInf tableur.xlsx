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lotn\Downloads\PIX DOW 30\"/>
    </mc:Choice>
  </mc:AlternateContent>
  <xr:revisionPtr revIDLastSave="0" documentId="13_ncr:1_{EAFA332F-7A24-42E0-B670-3CF6D057F159}" xr6:coauthVersionLast="47" xr6:coauthVersionMax="47" xr10:uidLastSave="{00000000-0000-0000-0000-000000000000}"/>
  <bookViews>
    <workbookView xWindow="-110" yWindow="-110" windowWidth="19420" windowHeight="11500" firstSheet="1" activeTab="1" xr2:uid="{958C584E-1F57-4FDB-890A-604F65E9AD2A}"/>
  </bookViews>
  <sheets>
    <sheet name="Performance Historique" sheetId="1" r:id="rId1"/>
    <sheet name="Composantes DOW 30" sheetId="2" r:id="rId2"/>
    <sheet name="Indicateurs macroéconomiques" sheetId="3" r:id="rId3"/>
    <sheet name="Analyse DOW RP" sheetId="4" r:id="rId4"/>
    <sheet name="Sources" sheetId="5" r:id="rId5"/>
  </sheets>
  <externalReferences>
    <externalReference r:id="rId6"/>
  </externalReferences>
  <definedNames>
    <definedName name="_xlchart.v1.0" hidden="1">'Performance Historique'!$A$2:$A$17</definedName>
    <definedName name="_xlchart.v1.1" hidden="1">'Performance Historique'!$G$1</definedName>
    <definedName name="_xlchart.v1.2" hidden="1">'Performance Historique'!$G$2:$G$17</definedName>
    <definedName name="_xlnm.Print_Area" localSheetId="0">'Performance Historique'!$K$2:$V$17</definedName>
    <definedName name="PrixCloture">'Performance Historique'!$E$2:$E$17</definedName>
    <definedName name="PrixOuverture">'Performance Historique'!$G$3+'Performance Historique'!$B$2:$B$17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Q4" i="4"/>
  <c r="Q3" i="4"/>
  <c r="Q2" i="4"/>
  <c r="P5" i="4"/>
  <c r="P4" i="4"/>
  <c r="P3" i="4"/>
  <c r="P2" i="4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2" i="1"/>
  <c r="H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Anna Plotnykova</author>
  </authors>
  <commentList>
    <comment ref="H2" authorId="0" shapeId="0" xr:uid="{33E3C71E-3E7B-4CEC-82F1-D0B80B2694E8}">
      <text>
        <r>
          <rPr>
            <b/>
            <sz val="9"/>
            <color indexed="81"/>
            <rFont val="Tahoma"/>
            <family val="2"/>
          </rPr>
          <t>Hausse portée par la stabilisation économique post-crise financière de 2008 et le soutien des banques centrales.</t>
        </r>
      </text>
    </comment>
    <comment ref="H5" authorId="0" shapeId="0" xr:uid="{A4E9AE22-E8CF-48B4-A2B9-83906C9AFD98}">
      <text>
        <r>
          <rPr>
            <sz val="9"/>
            <color indexed="81"/>
            <rFont val="Tahoma"/>
            <family val="2"/>
          </rPr>
          <t>Progression record de 26,50 % marquée par le dépassement historique des sommets de 2007 grâce à une forte reprise de la confiance.</t>
        </r>
      </text>
    </comment>
  </commentList>
</comments>
</file>

<file path=xl/sharedStrings.xml><?xml version="1.0" encoding="utf-8"?>
<sst xmlns="http://schemas.openxmlformats.org/spreadsheetml/2006/main" count="291" uniqueCount="219">
  <si>
    <t>% Valorisation</t>
  </si>
  <si>
    <t>Volume</t>
  </si>
  <si>
    <t>1,6%</t>
  </si>
  <si>
    <t>Taux d'Inflation</t>
  </si>
  <si>
    <t>Apple Inc.</t>
  </si>
  <si>
    <t>AAPL</t>
  </si>
  <si>
    <t>Technology</t>
  </si>
  <si>
    <t>Amgen Inc.</t>
  </si>
  <si>
    <t>AMGN</t>
  </si>
  <si>
    <t>Healthcare</t>
  </si>
  <si>
    <t>Amazon.com, Inc.</t>
  </si>
  <si>
    <t>AMZN</t>
  </si>
  <si>
    <t>Consumer Cyclical</t>
  </si>
  <si>
    <t>American Express Company</t>
  </si>
  <si>
    <t>AXP</t>
  </si>
  <si>
    <t>Financial Services</t>
  </si>
  <si>
    <t>The Boeing Company</t>
  </si>
  <si>
    <t>BA</t>
  </si>
  <si>
    <t>Industrials</t>
  </si>
  <si>
    <t>Caterpillar Inc.</t>
  </si>
  <si>
    <t>CAT</t>
  </si>
  <si>
    <t>Salesforce, Inc.</t>
  </si>
  <si>
    <t>CRM</t>
  </si>
  <si>
    <t>Cisco Systems, Inc.</t>
  </si>
  <si>
    <t>CSCO</t>
  </si>
  <si>
    <t>Chevron Corporation</t>
  </si>
  <si>
    <t>CVX</t>
  </si>
  <si>
    <t>Energy</t>
  </si>
  <si>
    <t>The Walt Disney Company</t>
  </si>
  <si>
    <t>DIS</t>
  </si>
  <si>
    <t>Communication Services</t>
  </si>
  <si>
    <t>The Goldman Sachs Group, Inc.</t>
  </si>
  <si>
    <t>GS</t>
  </si>
  <si>
    <t>The Home Depot, Inc.</t>
  </si>
  <si>
    <t>HD</t>
  </si>
  <si>
    <t>Honeywell International Inc.</t>
  </si>
  <si>
    <t>HON</t>
  </si>
  <si>
    <t>International Business Machines Corporation</t>
  </si>
  <si>
    <t>IBM</t>
  </si>
  <si>
    <t>Johnson &amp; Johnson</t>
  </si>
  <si>
    <t>JNJ</t>
  </si>
  <si>
    <t>JPMorgan Chase &amp; Co.</t>
  </si>
  <si>
    <t>JPM</t>
  </si>
  <si>
    <t>The Coca-Cola Company</t>
  </si>
  <si>
    <t>KO</t>
  </si>
  <si>
    <t>Consumer Defensive</t>
  </si>
  <si>
    <t>McDonald's Corporation</t>
  </si>
  <si>
    <t>MCD</t>
  </si>
  <si>
    <t>3M Company</t>
  </si>
  <si>
    <t>MMM</t>
  </si>
  <si>
    <t>Merck &amp; Co., Inc.</t>
  </si>
  <si>
    <t>MRK</t>
  </si>
  <si>
    <t>Microsoft Corporation</t>
  </si>
  <si>
    <t>MSFT</t>
  </si>
  <si>
    <t>NIKE, Inc.</t>
  </si>
  <si>
    <t>NKE</t>
  </si>
  <si>
    <t>NVIDIA Corporation</t>
  </si>
  <si>
    <t>NVDA</t>
  </si>
  <si>
    <t>The Procter &amp; Gamble Company</t>
  </si>
  <si>
    <t>PG</t>
  </si>
  <si>
    <t>The Sherwin-Williams Company</t>
  </si>
  <si>
    <t>SHW</t>
  </si>
  <si>
    <t>Basic Materials</t>
  </si>
  <si>
    <t>The Travelers Companies, Inc.</t>
  </si>
  <si>
    <t>TRV</t>
  </si>
  <si>
    <t>UnitedHealth Group Incorporated</t>
  </si>
  <si>
    <t>UNH</t>
  </si>
  <si>
    <t>Visa Inc.</t>
  </si>
  <si>
    <t>V</t>
  </si>
  <si>
    <t>Verizon Communications Inc.</t>
  </si>
  <si>
    <t>VZ</t>
  </si>
  <si>
    <t>Walmart Inc.</t>
  </si>
  <si>
    <t>WMT</t>
  </si>
  <si>
    <t>11,99</t>
  </si>
  <si>
    <t>4183,69</t>
  </si>
  <si>
    <t>30,35</t>
  </si>
  <si>
    <t>733,47</t>
  </si>
  <si>
    <t>4,81</t>
  </si>
  <si>
    <t>3213,76</t>
  </si>
  <si>
    <t>25,3</t>
  </si>
  <si>
    <t>1032,77</t>
  </si>
  <si>
    <t>26,33</t>
  </si>
  <si>
    <t>405,32</t>
  </si>
  <si>
    <t>61,64</t>
  </si>
  <si>
    <t>1359,03</t>
  </si>
  <si>
    <t>-19,36</t>
  </si>
  <si>
    <t>1356,83</t>
  </si>
  <si>
    <t>33,7</t>
  </si>
  <si>
    <t>391,75</t>
  </si>
  <si>
    <t>8,7</t>
  </si>
  <si>
    <t>271,83</t>
  </si>
  <si>
    <t>3,8</t>
  </si>
  <si>
    <t>318,96</t>
  </si>
  <si>
    <t>611,13</t>
  </si>
  <si>
    <t>-9,21</t>
  </si>
  <si>
    <t>1627,41</t>
  </si>
  <si>
    <t>-6,21</t>
  </si>
  <si>
    <t>673,08</t>
  </si>
  <si>
    <t>38,16</t>
  </si>
  <si>
    <t>306,86</t>
  </si>
  <si>
    <t>48,09</t>
  </si>
  <si>
    <t>409,97</t>
  </si>
  <si>
    <t>37,1</t>
  </si>
  <si>
    <t>1060,49</t>
  </si>
  <si>
    <t>16,39</t>
  </si>
  <si>
    <t>298,17</t>
  </si>
  <si>
    <t>6,92</t>
  </si>
  <si>
    <t>643,74</t>
  </si>
  <si>
    <t>25,77</t>
  </si>
  <si>
    <t>270,64</t>
  </si>
  <si>
    <t>10,13</t>
  </si>
  <si>
    <t>406,83</t>
  </si>
  <si>
    <t>1976,12</t>
  </si>
  <si>
    <t>-11,49</t>
  </si>
  <si>
    <t>379,14</t>
  </si>
  <si>
    <t>34,88</t>
  </si>
  <si>
    <t>45611,75</t>
  </si>
  <si>
    <t>-11,38</t>
  </si>
  <si>
    <t>272,25</t>
  </si>
  <si>
    <t>-1,87</t>
  </si>
  <si>
    <t>1762,86</t>
  </si>
  <si>
    <t>22,38</t>
  </si>
  <si>
    <t>745,23</t>
  </si>
  <si>
    <t>-32,96</t>
  </si>
  <si>
    <t>1248,04</t>
  </si>
  <si>
    <t>12,34</t>
  </si>
  <si>
    <t>1713,57</t>
  </si>
  <si>
    <t>8,27</t>
  </si>
  <si>
    <t>194,34</t>
  </si>
  <si>
    <t>24,97</t>
  </si>
  <si>
    <t>763,6</t>
  </si>
  <si>
    <t>19,29</t>
  </si>
  <si>
    <t>8971,17</t>
  </si>
  <si>
    <t>13,9</t>
  </si>
  <si>
    <t>699,58</t>
  </si>
  <si>
    <t>-2,24</t>
  </si>
  <si>
    <t>1466,01</t>
  </si>
  <si>
    <t>30,62</t>
  </si>
  <si>
    <t>1032,64</t>
  </si>
  <si>
    <t>26,88</t>
  </si>
  <si>
    <t>677,02</t>
  </si>
  <si>
    <t>6,04</t>
  </si>
  <si>
    <t>256,65</t>
  </si>
  <si>
    <t>9,99</t>
  </si>
  <si>
    <t>444,67</t>
  </si>
  <si>
    <t>2010-2014</t>
  </si>
  <si>
    <t>2017-2019</t>
  </si>
  <si>
    <t>2020-2021</t>
  </si>
  <si>
    <t>2024-2025</t>
  </si>
  <si>
    <t>Année</t>
  </si>
  <si>
    <t>Ouverture</t>
  </si>
  <si>
    <t>Plus haut</t>
  </si>
  <si>
    <t>Plus bas</t>
  </si>
  <si>
    <t>Clôture</t>
  </si>
  <si>
    <t>Variation nette</t>
  </si>
  <si>
    <t>Diviseur du Dow</t>
  </si>
  <si>
    <t>Secteur</t>
  </si>
  <si>
    <t>Symbole boursier</t>
  </si>
  <si>
    <t>Enterprise</t>
  </si>
  <si>
    <t>Rendement exactement un an plus tard</t>
  </si>
  <si>
    <t>Ratio bénéfice prévisionnel DOW 30</t>
  </si>
  <si>
    <t>Performance de l'entreprise en % 2025</t>
  </si>
  <si>
    <t>Performance de l'entreprise 2010-2025 (%)</t>
  </si>
  <si>
    <t>Performance du secteur 2010-2025 (%)</t>
  </si>
  <si>
    <t>Performance du secteur 2025 (%)</t>
  </si>
  <si>
    <t>Cours de l'action en 2025 ($)</t>
  </si>
  <si>
    <t>Taux des fonds fédéraux (Fed) (%)</t>
  </si>
  <si>
    <t>Taux d'inflation (%)</t>
  </si>
  <si>
    <t>Rendement un an plus tard</t>
  </si>
  <si>
    <t>Croissance du PIB (%)</t>
  </si>
  <si>
    <t>Label</t>
  </si>
  <si>
    <t>AAPL - Apple Inc.</t>
  </si>
  <si>
    <t>AMGN - Amgen Inc.</t>
  </si>
  <si>
    <t>AMZN - Amazon.com, Inc.</t>
  </si>
  <si>
    <t>AXP - American Express Company</t>
  </si>
  <si>
    <t>BA - The Boeing Company</t>
  </si>
  <si>
    <t>CAT - Caterpillar Inc.</t>
  </si>
  <si>
    <t>CRM - Salesforce, Inc.</t>
  </si>
  <si>
    <t>CSCO - Cisco Systems, Inc.</t>
  </si>
  <si>
    <t>CVX - Chevron Corporation</t>
  </si>
  <si>
    <t>DIS - The Walt Disney Company</t>
  </si>
  <si>
    <t>GS - The Goldman Sachs Group, Inc.</t>
  </si>
  <si>
    <t>HD - The Home Depot, Inc.</t>
  </si>
  <si>
    <t>HON - Honeywell International Inc.</t>
  </si>
  <si>
    <t>IBM - International Business Machines Corporation</t>
  </si>
  <si>
    <t>JNJ - Johnson &amp; Johnson</t>
  </si>
  <si>
    <t>JPM - JPMorgan Chase &amp; Co.</t>
  </si>
  <si>
    <t>KO - The Coca-Cola Company</t>
  </si>
  <si>
    <t>MCD - McDonald's Corporation</t>
  </si>
  <si>
    <t>MMM - 3M Company</t>
  </si>
  <si>
    <t>MRK - Merck &amp; Co., Inc.</t>
  </si>
  <si>
    <t>MSFT - Microsoft Corporation</t>
  </si>
  <si>
    <t>NKE - NIKE, Inc.</t>
  </si>
  <si>
    <t>NVDA - NVIDIA Corporation</t>
  </si>
  <si>
    <t>PG - The Procter &amp; Gamble Company</t>
  </si>
  <si>
    <t>SHW - The Sherwin-Williams Company</t>
  </si>
  <si>
    <t>TRV - The Travelers Companies, Inc.</t>
  </si>
  <si>
    <t>UNH - UnitedHealth Group Incorporated</t>
  </si>
  <si>
    <t>V - Visa Inc.</t>
  </si>
  <si>
    <t>VZ - Verizon Communications Inc.</t>
  </si>
  <si>
    <t>WMT - Walmart Inc.</t>
  </si>
  <si>
    <t>Source Primaire (Référence Marché) : Yahoo Finance. (2026). Dow Jones Industrial Average (^DJI) Historical Data. Récupéré de https://finance.yahoo.com/quote/%5EDJI/history/</t>
  </si>
  <si>
    <t>Source Secondaire (Alternative de Nettoyage) : Stooq. (2026). Historical Time Series: ^DJI (Daily). Récupéré de https://stooq.com/q/d/l/?s=^dji&amp;i=d</t>
  </si>
  <si>
    <t>Source Institutionnelle (Émetteur de l'Indice) : S&amp;P Dow Jones Indices. (2026). DJIA Official Constituents and Methodology. S&amp;P Global. Récupéré de https://www.spglobal.com/spdji/en/indices/equity/dow-jones-industrial-average/</t>
  </si>
  <si>
    <t>Source de Référence Croisée (Secteurs &amp; Historique) : Wikipedia. (2026). List of Dow Jones Industrial Average constituents. Récupéré de https://en.wikipedia.org/wiki/Dow_Jones_Industrial_Average</t>
  </si>
  <si>
    <t>Données de Proxy Sectoriel (ETFs) : Select Sector SPDR Trust. (2026). Sector Performance Series (XLK, XLF, XLV, etc.). Données via Yahoo Finance. Récupéré de https://finance.yahoo.com/quote/XLK/history/</t>
  </si>
  <si>
    <t>1. Performance Historique</t>
  </si>
  <si>
    <t>2. Composantes du DOW 30</t>
  </si>
  <si>
    <t>3. Indicateurs Macroéconomiques</t>
  </si>
  <si>
    <t>Source de Référence (Banque Centrale) : Federal Reserve Bank of St. Louis (FRED). (2026). Effective Federal Funds Rate (FEDFUNDS). Récupéré de https://fred.stlouisfed.org/series/FEDFUNDS</t>
  </si>
  <si>
    <t>4. Analyse DOW RP (Analyse Prévisionnelle)</t>
  </si>
  <si>
    <t>Source de Méthodologie (Indicateurs Fondamentaux) : S&amp;P Dow Jones Indices. (2026). Index Earnings &amp; Fundamentals. Récupéré de https://www.spglobal.com/spdji/en/indices/equity/dow-jones-industrial-average/</t>
  </si>
  <si>
    <t>Source de Calcul des Rendements (Proxies Publics) : Yahoo Finance. (2026). DJIA Price Series for Forward Return Computation. Récupéré de https://finance.yahoo.com/quote/%5EDJI/history/</t>
  </si>
  <si>
    <t>Source Académique (Corrélation de Long Terme) : Shiller, R. J. (2026). S&amp;P 500 CAPE Ratio &amp; Market Data. Yale University. Récupéré de https://www.econ.yale.edu/~shiller/data.htm</t>
  </si>
  <si>
    <r>
      <t>Objet :</t>
    </r>
    <r>
      <rPr>
        <sz val="12"/>
        <color theme="1"/>
        <rFont val="Arial"/>
        <family val="2"/>
      </rPr>
      <t xml:space="preserve"> Données OHLC (Open, High, Low, Close), volumes et variations annuelles de l'indice DJIA.</t>
    </r>
  </si>
  <si>
    <r>
      <t>Objet :</t>
    </r>
    <r>
      <rPr>
        <sz val="12"/>
        <color theme="1"/>
        <rFont val="Arial"/>
        <family val="2"/>
      </rPr>
      <t xml:space="preserve"> Liste officielle des constituants, tickers, classifications sectorielles et performances individuelles.</t>
    </r>
  </si>
  <si>
    <r>
      <t>Objet :</t>
    </r>
    <r>
      <rPr>
        <sz val="12"/>
        <color theme="1"/>
        <rFont val="Arial"/>
        <family val="2"/>
      </rPr>
      <t xml:space="preserve"> Taux des fonds fédéraux (Fed Funds), inflation (CPI) et croissance du PIB (GDP).</t>
    </r>
  </si>
  <si>
    <r>
      <t>Source de Données Globales (Inflation &amp; PIB) :</t>
    </r>
    <r>
      <rPr>
        <sz val="12"/>
        <color theme="1"/>
        <rFont val="Arial"/>
        <family val="2"/>
      </rPr>
      <t xml:space="preserve"> World Bank &amp; Bureau of Economic Analysis (BEA). (2026). </t>
    </r>
    <r>
      <rPr>
        <i/>
        <sz val="12"/>
        <color theme="1"/>
        <rFont val="Arial"/>
        <family val="2"/>
      </rPr>
      <t>US Inflation Rate and Real GDP Growth Rate</t>
    </r>
    <r>
      <rPr>
        <sz val="12"/>
        <color theme="1"/>
        <rFont val="Arial"/>
        <family val="2"/>
      </rPr>
      <t>. Archivé par FRED. Récupéré de https://fred.stlouisfed.org/series/FPCPITOTLZGUSA et https://fred.stlouisfed.org/series/A191RL1Q225SBEA</t>
    </r>
  </si>
  <si>
    <r>
      <t>Objet :</t>
    </r>
    <r>
      <rPr>
        <sz val="12"/>
        <color theme="1"/>
        <rFont val="Arial"/>
        <family val="2"/>
      </rPr>
      <t xml:space="preserve"> Ratios de valorisation (Forward P/E) et analyse des rendements futurs à 1 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</si>
</sst>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$-409]#,##0.00"/>
  </numFmts>
  <fonts count="11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left" vertical="center" wrapText="1" indent="1" readingOrder="1"/>
    </xf>
    <xf numFmtId="10" fontId="1" fillId="0" borderId="0" xfId="0" applyNumberFormat="1" applyFont="1" applyAlignment="1">
      <alignment horizontal="left" vertical="center" wrapText="1" indent="1" readingOrder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 wrapText="1"/>
    </xf>
    <xf numFmtId="2" fontId="1" fillId="0" borderId="0" xfId="0" applyNumberFormat="1" applyFont="1" applyAlignment="1">
      <alignment horizontal="left" vertical="center" wrapText="1" indent="1" readingOrder="1"/>
    </xf>
    <xf numFmtId="3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 vertical="top" wrapText="1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indent="1"/>
    </xf>
    <xf numFmtId="0" fontId="9" fillId="0" borderId="0" xfId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168" fontId="0" fillId="0" borderId="0" xfId="0" applyNumberFormat="1"/>
    <xf numFmtId="168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23">
    <dxf>
      <numFmt numFmtId="168" formatCode="[$$-409]#,##0.00"/>
    </dxf>
    <dxf>
      <numFmt numFmtId="14" formatCode="0.00%"/>
    </dxf>
    <dxf>
      <numFmt numFmtId="14" formatCode="0.00%"/>
      <alignment horizontal="center" vertical="center" textRotation="0" wrapText="0" indent="0" justifyLastLine="0" shrinkToFit="0" readingOrder="0"/>
    </dxf>
    <dxf>
      <numFmt numFmtId="14" formatCode="0.00%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" formatCode="0.00"/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4" formatCode="0.00%"/>
      <alignment horizontal="left" vertical="center" textRotation="0" wrapText="1" indent="1" justifyLastLine="0" shrinkToFit="0" readingOrder="1"/>
    </dxf>
    <dxf>
      <numFmt numFmtId="14" formatCode="0.00%"/>
    </dxf>
    <dxf>
      <numFmt numFmtId="2" formatCode="0.00"/>
    </dxf>
    <dxf>
      <numFmt numFmtId="3" formatCode="#,##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1" i="0" u="none" strike="noStrike" cap="none" normalizeH="0" baseline="0">
                <a:effectLst/>
              </a:rPr>
              <a:t>Rendements annuels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'Performance Historique'!$A$2:$A$17</c:f>
              <c:numCache>
                <c:formatCode>General</c:formatCode>
                <c:ptCount val="1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</c:numCache>
            </c:numRef>
          </c:cat>
          <c:val>
            <c:numRef>
              <c:f>'Performance Historique'!$H$2:$H$17</c:f>
              <c:numCache>
                <c:formatCode>0.00%</c:formatCode>
                <c:ptCount val="16"/>
                <c:pt idx="0">
                  <c:v>0.10994663715389916</c:v>
                </c:pt>
                <c:pt idx="1">
                  <c:v>5.5291191576282248E-2</c:v>
                </c:pt>
                <c:pt idx="2">
                  <c:v>7.2247398797187168E-2</c:v>
                </c:pt>
                <c:pt idx="3">
                  <c:v>0.26497870190060918</c:v>
                </c:pt>
                <c:pt idx="4">
                  <c:v>7.5481991587223074E-2</c:v>
                </c:pt>
                <c:pt idx="5">
                  <c:v>-2.2332909462060454E-2</c:v>
                </c:pt>
                <c:pt idx="6">
                  <c:v>0.13542396286370828</c:v>
                </c:pt>
                <c:pt idx="7">
                  <c:v>0.24386834509691688</c:v>
                </c:pt>
                <c:pt idx="8">
                  <c:v>-5.9731056847819236E-2</c:v>
                </c:pt>
                <c:pt idx="9">
                  <c:v>0.23764789927298033</c:v>
                </c:pt>
                <c:pt idx="10">
                  <c:v>6.8700435711200727E-2</c:v>
                </c:pt>
                <c:pt idx="11">
                  <c:v>0.18646104124890434</c:v>
                </c:pt>
                <c:pt idx="12">
                  <c:v>-8.7395399193854986E-2</c:v>
                </c:pt>
                <c:pt idx="13">
                  <c:v>0.13697711957340211</c:v>
                </c:pt>
                <c:pt idx="14">
                  <c:v>0.1325126713744646</c:v>
                </c:pt>
                <c:pt idx="15">
                  <c:v>0.12665700514321834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E-4092-9079-1288AAD55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481885999"/>
        <c:axId val="1481886479"/>
      </c:barChart>
      <c:catAx>
        <c:axId val="14818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886479"/>
        <c:crosses val="autoZero"/>
        <c:auto val="1"/>
        <c:lblAlgn val="ctr"/>
        <c:lblOffset val="100"/>
        <c:noMultiLvlLbl val="0"/>
      </c:catAx>
      <c:valAx>
        <c:axId val="148188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88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Rendement un an plus tard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'Analyse DOW RP'!$C$1</c:f>
              <c:strCache>
                <c:ptCount val="1"/>
                <c:pt idx="0">
                  <c:v>Rendement exactement un an plus tard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CD233C8-64BD-4687-8022-B8ABA812AD2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75920A2-9AD7-40E4-9DCC-0E5F7A4D378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A3A-43A4-B65E-E5F170A1DC94}"/>
                </c:ext>
              </c:extLst>
            </c:dLbl>
            <c:dLbl>
              <c:idx val="1"/>
              <c:layout>
                <c:manualLayout>
                  <c:x val="-5.4086218984130761E-2"/>
                  <c:y val="5.2542290682983127E-2"/>
                </c:manualLayout>
              </c:layout>
              <c:tx>
                <c:rich>
                  <a:bodyPr/>
                  <a:lstStyle/>
                  <a:p>
                    <a:fld id="{2DF9136E-D979-46C0-B901-20C7A656AA4B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2EA9D4C-B071-421C-A389-0038FE44FBC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A3A-43A4-B65E-E5F170A1DC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2AD9FCC-BC57-4F7A-A2FC-7CAED138F09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DFF8204-9A3B-418F-BD94-7DF56790821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A3A-43A4-B65E-E5F170A1DC94}"/>
                </c:ext>
              </c:extLst>
            </c:dLbl>
            <c:dLbl>
              <c:idx val="3"/>
              <c:layout>
                <c:manualLayout>
                  <c:x val="-0.12868790034155234"/>
                  <c:y val="-4.6704258384873944E-2"/>
                </c:manualLayout>
              </c:layout>
              <c:tx>
                <c:rich>
                  <a:bodyPr/>
                  <a:lstStyle/>
                  <a:p>
                    <a:fld id="{61A7C76B-3C41-4490-8B8D-A310FB86794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38DB90E-19EB-4541-B36B-805843CFAF6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A3A-43A4-B65E-E5F170A1DC94}"/>
                </c:ext>
              </c:extLst>
            </c:dLbl>
            <c:dLbl>
              <c:idx val="4"/>
              <c:layout>
                <c:manualLayout>
                  <c:x val="5.5951261018066236E-3"/>
                  <c:y val="5.8380322981092359E-2"/>
                </c:manualLayout>
              </c:layout>
              <c:tx>
                <c:rich>
                  <a:bodyPr/>
                  <a:lstStyle/>
                  <a:p>
                    <a:fld id="{3968119A-053F-4504-8884-976D0CC3B8B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9C4E67E-CCA2-49A9-97EF-A2D011575AE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A3A-43A4-B65E-E5F170A1DC94}"/>
                </c:ext>
              </c:extLst>
            </c:dLbl>
            <c:dLbl>
              <c:idx val="5"/>
              <c:layout>
                <c:manualLayout>
                  <c:x val="-5.9681345085937386E-2"/>
                  <c:y val="4.6704258384873888E-2"/>
                </c:manualLayout>
              </c:layout>
              <c:tx>
                <c:rich>
                  <a:bodyPr/>
                  <a:lstStyle/>
                  <a:p>
                    <a:fld id="{25C0824B-2213-4889-A35D-8F10AC37996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816C6BD-B76C-47F1-98C9-AE9F9CB9067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A3A-43A4-B65E-E5F170A1DC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22B8FFE-A08E-43F8-A340-703FA01B983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64D75672-06DA-450F-81A8-748778437B7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A3A-43A4-B65E-E5F170A1DC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932C2EE-0D49-410B-B9FC-0BA6E04CB52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800EA8E-B39C-4161-8EF3-69F311E7828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A3A-43A4-B65E-E5F170A1DC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DCCFF28-E0BC-45B3-AB37-9208396A0FB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CAEF689-F875-40D2-946F-05FD5D384C74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A3A-43A4-B65E-E5F170A1DC94}"/>
                </c:ext>
              </c:extLst>
            </c:dLbl>
            <c:dLbl>
              <c:idx val="9"/>
              <c:layout>
                <c:manualLayout>
                  <c:x val="-3.7300840678712193E-3"/>
                  <c:y val="-3.2109177639600826E-2"/>
                </c:manualLayout>
              </c:layout>
              <c:tx>
                <c:rich>
                  <a:bodyPr/>
                  <a:lstStyle/>
                  <a:p>
                    <a:fld id="{D4B3715E-1AA7-403B-AA83-BC3B0EBDB30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B7D21160-3856-463B-8C7F-B0288ED15F7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A3A-43A4-B65E-E5F170A1DC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878DB4A-0CFC-411C-8662-90D3EF3E7A1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4111526-6C5D-4098-920D-31D3656E91D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A3A-43A4-B65E-E5F170A1DC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B0909F0-514E-4560-A1B8-2657A35A8E8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AAF85F0-9228-4729-B7B6-3AC8A0122380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A3A-43A4-B65E-E5F170A1DC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C56CA35-1987-4854-AF4C-45D9EFD3A5F0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9751626-DE7A-46A4-BB6D-3C95213AD888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A3A-43A4-B65E-E5F170A1DC94}"/>
                </c:ext>
              </c:extLst>
            </c:dLbl>
            <c:dLbl>
              <c:idx val="13"/>
              <c:layout>
                <c:manualLayout>
                  <c:x val="-3.9165882712646365E-2"/>
                  <c:y val="4.9623274533928563E-2"/>
                </c:manualLayout>
              </c:layout>
              <c:tx>
                <c:rich>
                  <a:bodyPr/>
                  <a:lstStyle/>
                  <a:p>
                    <a:fld id="{88E292BA-BE21-4598-88EA-781251692FB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692F47D-1EBC-4E6A-BD32-6AA4613AE45B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5A3A-43A4-B65E-E5F170A1DC94}"/>
                </c:ext>
              </c:extLst>
            </c:dLbl>
            <c:dLbl>
              <c:idx val="14"/>
              <c:layout>
                <c:manualLayout>
                  <c:x val="1.8650420339355274E-2"/>
                  <c:y val="2.3352129192436892E-2"/>
                </c:manualLayout>
              </c:layout>
              <c:tx>
                <c:rich>
                  <a:bodyPr/>
                  <a:lstStyle/>
                  <a:p>
                    <a:fld id="{CFE4F547-497B-4631-B669-1D85735B7D93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7FE11CA-EF94-4915-924F-E944653B6003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A3A-43A4-B65E-E5F170A1DC9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3198EF2-C2D3-4140-AAB9-4B4A2C656355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D8B7449-79FB-4779-8579-08787DC0405C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A3A-43A4-B65E-E5F170A1DC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'Analyse DOW RP'!$B$2:$B$17</c:f>
              <c:numCache>
                <c:formatCode>0.00%</c:formatCode>
                <c:ptCount val="16"/>
                <c:pt idx="0">
                  <c:v>0.128</c:v>
                </c:pt>
                <c:pt idx="1">
                  <c:v>0.13100000000000001</c:v>
                </c:pt>
                <c:pt idx="2">
                  <c:v>0.12400000000000001</c:v>
                </c:pt>
                <c:pt idx="3">
                  <c:v>0.13900000000000001</c:v>
                </c:pt>
                <c:pt idx="4">
                  <c:v>0.152</c:v>
                </c:pt>
                <c:pt idx="5">
                  <c:v>0.158</c:v>
                </c:pt>
                <c:pt idx="6">
                  <c:v>0.16500000000000001</c:v>
                </c:pt>
                <c:pt idx="7">
                  <c:v>0.17800000000000002</c:v>
                </c:pt>
                <c:pt idx="8">
                  <c:v>0.182</c:v>
                </c:pt>
                <c:pt idx="9">
                  <c:v>0.14300000000000002</c:v>
                </c:pt>
                <c:pt idx="10">
                  <c:v>0.185</c:v>
                </c:pt>
                <c:pt idx="11">
                  <c:v>0.214</c:v>
                </c:pt>
                <c:pt idx="12">
                  <c:v>0.18100000000000002</c:v>
                </c:pt>
                <c:pt idx="13">
                  <c:v>0.17500000000000002</c:v>
                </c:pt>
                <c:pt idx="14">
                  <c:v>0.192</c:v>
                </c:pt>
                <c:pt idx="15">
                  <c:v>0.20100000000000001</c:v>
                </c:pt>
              </c:numCache>
            </c:numRef>
          </c:xVal>
          <c:yVal>
            <c:numRef>
              <c:f>'Analyse DOW RP'!$C$2:$C$17</c:f>
              <c:numCache>
                <c:formatCode>0.00%</c:formatCode>
                <c:ptCount val="16"/>
                <c:pt idx="0">
                  <c:v>0.1089</c:v>
                </c:pt>
                <c:pt idx="1">
                  <c:v>5.91E-2</c:v>
                </c:pt>
                <c:pt idx="2">
                  <c:v>8.2100000000000006E-2</c:v>
                </c:pt>
                <c:pt idx="3">
                  <c:v>0.2225</c:v>
                </c:pt>
                <c:pt idx="4">
                  <c:v>6.5500000000000003E-2</c:v>
                </c:pt>
                <c:pt idx="5">
                  <c:v>-1.9599999999999999E-2</c:v>
                </c:pt>
                <c:pt idx="6">
                  <c:v>0.15970000000000001</c:v>
                </c:pt>
                <c:pt idx="7">
                  <c:v>0.2712</c:v>
                </c:pt>
                <c:pt idx="8">
                  <c:v>-7.3599999999999999E-2</c:v>
                </c:pt>
                <c:pt idx="9">
                  <c:v>0.22489999999999999</c:v>
                </c:pt>
                <c:pt idx="10">
                  <c:v>5.8799999999999998E-2</c:v>
                </c:pt>
                <c:pt idx="11">
                  <c:v>0.19789999999999999</c:v>
                </c:pt>
                <c:pt idx="12">
                  <c:v>-9.5500000000000002E-2</c:v>
                </c:pt>
                <c:pt idx="13">
                  <c:v>0.13769999999999999</c:v>
                </c:pt>
                <c:pt idx="14">
                  <c:v>0.1399</c:v>
                </c:pt>
                <c:pt idx="15">
                  <c:v>0.15640000000000001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'Analyse DOW RP'!$A$2:$A$17</c15:f>
                <c15:dlblRangeCache>
                  <c:ptCount val="16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5A3A-43A4-B65E-E5F170A1D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840528"/>
        <c:axId val="829834288"/>
      </c:scatterChart>
      <c:valAx>
        <c:axId val="82984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34288"/>
        <c:crosses val="autoZero"/>
        <c:crossBetween val="midCat"/>
      </c:valAx>
      <c:valAx>
        <c:axId val="8298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4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 30 - Performance 2010-2025: Entreprise vs Secteur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'[1]Composantes DOW 30'!$F$1</c:f>
              <c:strCache>
                <c:ptCount val="1"/>
                <c:pt idx="0">
                  <c:v>Performance de l'entreprise 2010-2025 (%)</c:v>
                </c:pt>
              </c:strCache>
            </c:strRef>
          </c:tx>
          <c:invertIfNegative val="0"/>
          <c:cat>
            <c:strRef>
              <c:f>'[1]Composantes DOW 30'!$I$2:$I$31</c:f>
              <c:strCache>
                <c:ptCount val="30"/>
                <c:pt idx="0">
                  <c:v>AAPL - Apple Inc.</c:v>
                </c:pt>
                <c:pt idx="1">
                  <c:v>AMGN - Amgen Inc.</c:v>
                </c:pt>
                <c:pt idx="2">
                  <c:v>AMZN - Amazon.com, Inc.</c:v>
                </c:pt>
                <c:pt idx="3">
                  <c:v>AXP - American Express Company</c:v>
                </c:pt>
                <c:pt idx="4">
                  <c:v>BA - The Boeing Company</c:v>
                </c:pt>
                <c:pt idx="5">
                  <c:v>CAT - Caterpillar Inc.</c:v>
                </c:pt>
                <c:pt idx="6">
                  <c:v>CRM - Salesforce, Inc.</c:v>
                </c:pt>
                <c:pt idx="7">
                  <c:v>CSCO - Cisco Systems, Inc.</c:v>
                </c:pt>
                <c:pt idx="8">
                  <c:v>CVX - Chevron Corporation</c:v>
                </c:pt>
                <c:pt idx="9">
                  <c:v>DIS - The Walt Disney Company</c:v>
                </c:pt>
                <c:pt idx="10">
                  <c:v>GS - The Goldman Sachs Group, Inc.</c:v>
                </c:pt>
                <c:pt idx="11">
                  <c:v>HD - The Home Depot, Inc.</c:v>
                </c:pt>
                <c:pt idx="12">
                  <c:v>HON - Honeywell International Inc.</c:v>
                </c:pt>
                <c:pt idx="13">
                  <c:v>IBM - International Business Machines Corporation</c:v>
                </c:pt>
                <c:pt idx="14">
                  <c:v>JNJ - Johnson &amp; Johnson</c:v>
                </c:pt>
                <c:pt idx="15">
                  <c:v>JPM - JPMorgan Chase &amp; Co.</c:v>
                </c:pt>
                <c:pt idx="16">
                  <c:v>KO - The Coca-Cola Company</c:v>
                </c:pt>
                <c:pt idx="17">
                  <c:v>MCD - McDonald's Corporation</c:v>
                </c:pt>
                <c:pt idx="18">
                  <c:v>MMM - 3M Company</c:v>
                </c:pt>
                <c:pt idx="19">
                  <c:v>MRK - Merck &amp; Co., Inc.</c:v>
                </c:pt>
                <c:pt idx="20">
                  <c:v>MSFT - Microsoft Corporation</c:v>
                </c:pt>
                <c:pt idx="21">
                  <c:v>NKE - NIKE, Inc.</c:v>
                </c:pt>
                <c:pt idx="22">
                  <c:v>NVDA - NVIDIA Corporation</c:v>
                </c:pt>
                <c:pt idx="23">
                  <c:v>PG - The Procter &amp; Gamble Company</c:v>
                </c:pt>
                <c:pt idx="24">
                  <c:v>SHW - The Sherwin-Williams Company</c:v>
                </c:pt>
                <c:pt idx="25">
                  <c:v>TRV - The Travelers Companies, Inc.</c:v>
                </c:pt>
                <c:pt idx="26">
                  <c:v>UNH - UnitedHealth Group Incorporated</c:v>
                </c:pt>
                <c:pt idx="27">
                  <c:v>V - Visa Inc.</c:v>
                </c:pt>
                <c:pt idx="28">
                  <c:v>VZ - Verizon Communications Inc.</c:v>
                </c:pt>
                <c:pt idx="29">
                  <c:v>WMT - Walmart Inc.</c:v>
                </c:pt>
              </c:strCache>
            </c:strRef>
          </c:cat>
          <c:val>
            <c:numRef>
              <c:f>'[1]Composantes DOW 30'!$F$2:$F$31</c:f>
              <c:numCache>
                <c:formatCode>General</c:formatCode>
                <c:ptCount val="30"/>
                <c:pt idx="0">
                  <c:v>4183.6899999999996</c:v>
                </c:pt>
                <c:pt idx="1">
                  <c:v>733.47</c:v>
                </c:pt>
                <c:pt idx="2">
                  <c:v>3213.76</c:v>
                </c:pt>
                <c:pt idx="3">
                  <c:v>1032.77</c:v>
                </c:pt>
                <c:pt idx="4">
                  <c:v>405.32</c:v>
                </c:pt>
                <c:pt idx="5">
                  <c:v>1359.03</c:v>
                </c:pt>
                <c:pt idx="6">
                  <c:v>1356.83</c:v>
                </c:pt>
                <c:pt idx="7">
                  <c:v>391.75</c:v>
                </c:pt>
                <c:pt idx="8">
                  <c:v>271.83</c:v>
                </c:pt>
                <c:pt idx="9">
                  <c:v>318.95999999999998</c:v>
                </c:pt>
                <c:pt idx="10">
                  <c:v>611.13</c:v>
                </c:pt>
                <c:pt idx="11">
                  <c:v>1627.41</c:v>
                </c:pt>
                <c:pt idx="12">
                  <c:v>673.08</c:v>
                </c:pt>
                <c:pt idx="13">
                  <c:v>306.86</c:v>
                </c:pt>
                <c:pt idx="14">
                  <c:v>409.97</c:v>
                </c:pt>
                <c:pt idx="15">
                  <c:v>1060.49</c:v>
                </c:pt>
                <c:pt idx="16">
                  <c:v>298.17</c:v>
                </c:pt>
                <c:pt idx="17">
                  <c:v>643.74</c:v>
                </c:pt>
                <c:pt idx="18">
                  <c:v>270.64</c:v>
                </c:pt>
                <c:pt idx="19">
                  <c:v>406.83</c:v>
                </c:pt>
                <c:pt idx="20">
                  <c:v>1976.12</c:v>
                </c:pt>
                <c:pt idx="21">
                  <c:v>379.14</c:v>
                </c:pt>
                <c:pt idx="22">
                  <c:v>45611.75</c:v>
                </c:pt>
                <c:pt idx="23">
                  <c:v>272.25</c:v>
                </c:pt>
                <c:pt idx="24">
                  <c:v>1762.86</c:v>
                </c:pt>
                <c:pt idx="25">
                  <c:v>745.23</c:v>
                </c:pt>
                <c:pt idx="26">
                  <c:v>1248.04</c:v>
                </c:pt>
                <c:pt idx="27">
                  <c:v>1713.57</c:v>
                </c:pt>
                <c:pt idx="28">
                  <c:v>194.34</c:v>
                </c:pt>
                <c:pt idx="29">
                  <c:v>763.6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7-4325-A6E4-C4A5A7FCBA72}"/>
            </c:ext>
          </c:extLst>
        </c:ser>
        <c:ser>
          <c:idx val="1"/>
          <c:order val="1"/>
          <c:tx>
            <c:strRef>
              <c:f>'[1]Composantes DOW 30'!$H$1</c:f>
              <c:strCache>
                <c:ptCount val="1"/>
                <c:pt idx="0">
                  <c:v>Performance du secteur 2010-2025 (%)</c:v>
                </c:pt>
              </c:strCache>
            </c:strRef>
          </c:tx>
          <c:invertIfNegative val="0"/>
          <c:cat>
            <c:strRef>
              <c:f>'[1]Composantes DOW 30'!$I$2:$I$31</c:f>
              <c:strCache>
                <c:ptCount val="30"/>
                <c:pt idx="0">
                  <c:v>AAPL - Apple Inc.</c:v>
                </c:pt>
                <c:pt idx="1">
                  <c:v>AMGN - Amgen Inc.</c:v>
                </c:pt>
                <c:pt idx="2">
                  <c:v>AMZN - Amazon.com, Inc.</c:v>
                </c:pt>
                <c:pt idx="3">
                  <c:v>AXP - American Express Company</c:v>
                </c:pt>
                <c:pt idx="4">
                  <c:v>BA - The Boeing Company</c:v>
                </c:pt>
                <c:pt idx="5">
                  <c:v>CAT - Caterpillar Inc.</c:v>
                </c:pt>
                <c:pt idx="6">
                  <c:v>CRM - Salesforce, Inc.</c:v>
                </c:pt>
                <c:pt idx="7">
                  <c:v>CSCO - Cisco Systems, Inc.</c:v>
                </c:pt>
                <c:pt idx="8">
                  <c:v>CVX - Chevron Corporation</c:v>
                </c:pt>
                <c:pt idx="9">
                  <c:v>DIS - The Walt Disney Company</c:v>
                </c:pt>
                <c:pt idx="10">
                  <c:v>GS - The Goldman Sachs Group, Inc.</c:v>
                </c:pt>
                <c:pt idx="11">
                  <c:v>HD - The Home Depot, Inc.</c:v>
                </c:pt>
                <c:pt idx="12">
                  <c:v>HON - Honeywell International Inc.</c:v>
                </c:pt>
                <c:pt idx="13">
                  <c:v>IBM - International Business Machines Corporation</c:v>
                </c:pt>
                <c:pt idx="14">
                  <c:v>JNJ - Johnson &amp; Johnson</c:v>
                </c:pt>
                <c:pt idx="15">
                  <c:v>JPM - JPMorgan Chase &amp; Co.</c:v>
                </c:pt>
                <c:pt idx="16">
                  <c:v>KO - The Coca-Cola Company</c:v>
                </c:pt>
                <c:pt idx="17">
                  <c:v>MCD - McDonald's Corporation</c:v>
                </c:pt>
                <c:pt idx="18">
                  <c:v>MMM - 3M Company</c:v>
                </c:pt>
                <c:pt idx="19">
                  <c:v>MRK - Merck &amp; Co., Inc.</c:v>
                </c:pt>
                <c:pt idx="20">
                  <c:v>MSFT - Microsoft Corporation</c:v>
                </c:pt>
                <c:pt idx="21">
                  <c:v>NKE - NIKE, Inc.</c:v>
                </c:pt>
                <c:pt idx="22">
                  <c:v>NVDA - NVIDIA Corporation</c:v>
                </c:pt>
                <c:pt idx="23">
                  <c:v>PG - The Procter &amp; Gamble Company</c:v>
                </c:pt>
                <c:pt idx="24">
                  <c:v>SHW - The Sherwin-Williams Company</c:v>
                </c:pt>
                <c:pt idx="25">
                  <c:v>TRV - The Travelers Companies, Inc.</c:v>
                </c:pt>
                <c:pt idx="26">
                  <c:v>UNH - UnitedHealth Group Incorporated</c:v>
                </c:pt>
                <c:pt idx="27">
                  <c:v>V - Visa Inc.</c:v>
                </c:pt>
                <c:pt idx="28">
                  <c:v>VZ - Verizon Communications Inc.</c:v>
                </c:pt>
                <c:pt idx="29">
                  <c:v>WMT - Walmart Inc.</c:v>
                </c:pt>
              </c:strCache>
            </c:strRef>
          </c:cat>
          <c:val>
            <c:numRef>
              <c:f>'[1]Composantes DOW 30'!$H$2:$H$31</c:f>
              <c:numCache>
                <c:formatCode>General</c:formatCode>
                <c:ptCount val="30"/>
                <c:pt idx="0">
                  <c:v>8971.17</c:v>
                </c:pt>
                <c:pt idx="1">
                  <c:v>699.58</c:v>
                </c:pt>
                <c:pt idx="2">
                  <c:v>1466.01</c:v>
                </c:pt>
                <c:pt idx="3">
                  <c:v>1032.6400000000001</c:v>
                </c:pt>
                <c:pt idx="4">
                  <c:v>677.02</c:v>
                </c:pt>
                <c:pt idx="5">
                  <c:v>677.02</c:v>
                </c:pt>
                <c:pt idx="6">
                  <c:v>8971.17</c:v>
                </c:pt>
                <c:pt idx="7">
                  <c:v>8971.17</c:v>
                </c:pt>
                <c:pt idx="8">
                  <c:v>271.83</c:v>
                </c:pt>
                <c:pt idx="9">
                  <c:v>256.64999999999998</c:v>
                </c:pt>
                <c:pt idx="10">
                  <c:v>1032.6400000000001</c:v>
                </c:pt>
                <c:pt idx="11">
                  <c:v>1466.01</c:v>
                </c:pt>
                <c:pt idx="12">
                  <c:v>677.02</c:v>
                </c:pt>
                <c:pt idx="13">
                  <c:v>8971.17</c:v>
                </c:pt>
                <c:pt idx="14">
                  <c:v>699.58</c:v>
                </c:pt>
                <c:pt idx="15">
                  <c:v>1032.6400000000001</c:v>
                </c:pt>
                <c:pt idx="16">
                  <c:v>444.67</c:v>
                </c:pt>
                <c:pt idx="17">
                  <c:v>1466.01</c:v>
                </c:pt>
                <c:pt idx="18">
                  <c:v>677.02</c:v>
                </c:pt>
                <c:pt idx="19">
                  <c:v>699.58</c:v>
                </c:pt>
                <c:pt idx="20">
                  <c:v>8971.17</c:v>
                </c:pt>
                <c:pt idx="21">
                  <c:v>1466.01</c:v>
                </c:pt>
                <c:pt idx="22">
                  <c:v>8971.17</c:v>
                </c:pt>
                <c:pt idx="23">
                  <c:v>444.67</c:v>
                </c:pt>
                <c:pt idx="24">
                  <c:v>1762.86</c:v>
                </c:pt>
                <c:pt idx="25">
                  <c:v>1032.6400000000001</c:v>
                </c:pt>
                <c:pt idx="26">
                  <c:v>699.58</c:v>
                </c:pt>
                <c:pt idx="27">
                  <c:v>1032.6400000000001</c:v>
                </c:pt>
                <c:pt idx="28">
                  <c:v>256.64999999999998</c:v>
                </c:pt>
                <c:pt idx="29">
                  <c:v>444.67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17-4325-A6E4-C4A5A7FCB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Entreprises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Performance cumulée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Rendement un an plus tard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'Analyse DOW RP'!$C$1</c:f>
              <c:strCache>
                <c:ptCount val="1"/>
                <c:pt idx="0">
                  <c:v>Rendement exactement un an plus tard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690A218-40A1-440A-BC71-9269BC0B79D4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F253F0B-0947-4254-B637-AB6DDC6FC09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00-4B2C-AFE7-DA53EEBB4978}"/>
                </c:ext>
              </c:extLst>
            </c:dLbl>
            <c:dLbl>
              <c:idx val="1"/>
              <c:layout>
                <c:manualLayout>
                  <c:x val="-5.4086218984130761E-2"/>
                  <c:y val="5.2542290682983127E-2"/>
                </c:manualLayout>
              </c:layout>
              <c:tx>
                <c:rich>
                  <a:bodyPr/>
                  <a:lstStyle/>
                  <a:p>
                    <a:fld id="{F55DDAB0-34AB-46AB-8E71-71499A7A04D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241EBF4-5A14-43C1-B65C-D8A2D414E77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300-4B2C-AFE7-DA53EEBB497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B243214-F191-43C1-AA41-5C6CD790F8C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8C6899A-AD18-42D2-9A7A-24D12F64C3C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00-4B2C-AFE7-DA53EEBB4978}"/>
                </c:ext>
              </c:extLst>
            </c:dLbl>
            <c:dLbl>
              <c:idx val="3"/>
              <c:layout>
                <c:manualLayout>
                  <c:x val="-0.12868790034155234"/>
                  <c:y val="-4.6704258384873944E-2"/>
                </c:manualLayout>
              </c:layout>
              <c:tx>
                <c:rich>
                  <a:bodyPr/>
                  <a:lstStyle/>
                  <a:p>
                    <a:fld id="{58750460-E86E-46AF-A973-AEF9AA55156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CFD2EE7-A900-409C-B0E0-98E09C26B60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300-4B2C-AFE7-DA53EEBB4978}"/>
                </c:ext>
              </c:extLst>
            </c:dLbl>
            <c:dLbl>
              <c:idx val="4"/>
              <c:layout>
                <c:manualLayout>
                  <c:x val="5.5951261018066236E-3"/>
                  <c:y val="5.8380322981092359E-2"/>
                </c:manualLayout>
              </c:layout>
              <c:tx>
                <c:rich>
                  <a:bodyPr/>
                  <a:lstStyle/>
                  <a:p>
                    <a:fld id="{4C536FA2-757E-4BAA-BBCA-35609A34AA5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D49F309F-491A-404D-BC1E-6547B90A7B4A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00-4B2C-AFE7-DA53EEBB4978}"/>
                </c:ext>
              </c:extLst>
            </c:dLbl>
            <c:dLbl>
              <c:idx val="5"/>
              <c:layout>
                <c:manualLayout>
                  <c:x val="-5.9681345085937386E-2"/>
                  <c:y val="4.6704258384873888E-2"/>
                </c:manualLayout>
              </c:layout>
              <c:tx>
                <c:rich>
                  <a:bodyPr/>
                  <a:lstStyle/>
                  <a:p>
                    <a:fld id="{C972CD50-4BE7-4735-BE0D-558D1D720DD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B8D331F-C26D-490A-B55E-2AD12E58AD0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300-4B2C-AFE7-DA53EEBB497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4C658A-9E04-4CFD-A524-57FC4498E6F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3C0412B7-4EFD-4C6C-928D-F032444F3315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00-4B2C-AFE7-DA53EEBB497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BC55434-0D29-4F37-B7CD-C616B25ECA1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33040A5-8E61-4B68-A760-C116C8CC555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00-4B2C-AFE7-DA53EEBB497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EC6D2A9-02C7-4DA6-9928-BD01F55AA48F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A791480A-3923-4DBA-9726-048BD514F6C6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00-4B2C-AFE7-DA53EEBB4978}"/>
                </c:ext>
              </c:extLst>
            </c:dLbl>
            <c:dLbl>
              <c:idx val="9"/>
              <c:layout>
                <c:manualLayout>
                  <c:x val="-3.7300840678712193E-3"/>
                  <c:y val="-3.2109177639600826E-2"/>
                </c:manualLayout>
              </c:layout>
              <c:tx>
                <c:rich>
                  <a:bodyPr/>
                  <a:lstStyle/>
                  <a:p>
                    <a:fld id="{99A1699E-1B19-40C3-805F-24A3BC657B0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4FC7F5CD-11A9-48B8-9021-61A0CE4CD492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300-4B2C-AFE7-DA53EEBB497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86EBADB-5645-4FBA-8682-72599C42E40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A472E31-42D6-4C45-AEA1-E61938F2BB4D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00-4B2C-AFE7-DA53EEBB497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A060E7A-07A5-4480-B4F5-4AAFBEFDCF7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189B6127-22F4-44E7-BF93-D0189C2CCB2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00-4B2C-AFE7-DA53EEBB497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19113FD-6249-49CA-AD45-59C429789C5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025B731-9352-469F-BAED-CE6E009981CE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00-4B2C-AFE7-DA53EEBB4978}"/>
                </c:ext>
              </c:extLst>
            </c:dLbl>
            <c:dLbl>
              <c:idx val="13"/>
              <c:layout>
                <c:manualLayout>
                  <c:x val="-3.9165882712646365E-2"/>
                  <c:y val="4.9623274533928563E-2"/>
                </c:manualLayout>
              </c:layout>
              <c:tx>
                <c:rich>
                  <a:bodyPr/>
                  <a:lstStyle/>
                  <a:p>
                    <a:fld id="{CA35B806-F633-4B14-9FA3-7AB7B4ED34F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98188B96-98BC-42F1-BF53-25A1FED22DF1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300-4B2C-AFE7-DA53EEBB4978}"/>
                </c:ext>
              </c:extLst>
            </c:dLbl>
            <c:dLbl>
              <c:idx val="14"/>
              <c:layout>
                <c:manualLayout>
                  <c:x val="1.8650420339355274E-2"/>
                  <c:y val="2.3352129192436892E-2"/>
                </c:manualLayout>
              </c:layout>
              <c:tx>
                <c:rich>
                  <a:bodyPr/>
                  <a:lstStyle/>
                  <a:p>
                    <a:fld id="{0EBE57B2-BD11-4FCC-A2D7-56436FEBC0F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40E9EF0-DAFA-48B2-810C-F2BBA562591F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300-4B2C-AFE7-DA53EEBB497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85F083E-D0D0-46C9-BC0E-ED2892CFAAE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F9B25A05-6DDE-49B1-BC27-49DEE2CEB9A7}" type="YVALUE">
                      <a:rPr lang="en-US" baseline="0"/>
                      <a:pPr/>
                      <a:t>[Y 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00-4B2C-AFE7-DA53EEBB49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'Analyse DOW RP'!$B$2:$B$17</c:f>
              <c:numCache>
                <c:formatCode>0.00%</c:formatCode>
                <c:ptCount val="16"/>
                <c:pt idx="0">
                  <c:v>0.128</c:v>
                </c:pt>
                <c:pt idx="1">
                  <c:v>0.13100000000000001</c:v>
                </c:pt>
                <c:pt idx="2">
                  <c:v>0.12400000000000001</c:v>
                </c:pt>
                <c:pt idx="3">
                  <c:v>0.13900000000000001</c:v>
                </c:pt>
                <c:pt idx="4">
                  <c:v>0.152</c:v>
                </c:pt>
                <c:pt idx="5">
                  <c:v>0.158</c:v>
                </c:pt>
                <c:pt idx="6">
                  <c:v>0.16500000000000001</c:v>
                </c:pt>
                <c:pt idx="7">
                  <c:v>0.17800000000000002</c:v>
                </c:pt>
                <c:pt idx="8">
                  <c:v>0.182</c:v>
                </c:pt>
                <c:pt idx="9">
                  <c:v>0.14300000000000002</c:v>
                </c:pt>
                <c:pt idx="10">
                  <c:v>0.185</c:v>
                </c:pt>
                <c:pt idx="11">
                  <c:v>0.214</c:v>
                </c:pt>
                <c:pt idx="12">
                  <c:v>0.18100000000000002</c:v>
                </c:pt>
                <c:pt idx="13">
                  <c:v>0.17500000000000002</c:v>
                </c:pt>
                <c:pt idx="14">
                  <c:v>0.192</c:v>
                </c:pt>
                <c:pt idx="15">
                  <c:v>0.20100000000000001</c:v>
                </c:pt>
              </c:numCache>
            </c:numRef>
          </c:xVal>
          <c:yVal>
            <c:numRef>
              <c:f>'Analyse DOW RP'!$C$2:$C$17</c:f>
              <c:numCache>
                <c:formatCode>0.00%</c:formatCode>
                <c:ptCount val="16"/>
                <c:pt idx="0">
                  <c:v>0.1089</c:v>
                </c:pt>
                <c:pt idx="1">
                  <c:v>5.91E-2</c:v>
                </c:pt>
                <c:pt idx="2">
                  <c:v>8.2100000000000006E-2</c:v>
                </c:pt>
                <c:pt idx="3">
                  <c:v>0.2225</c:v>
                </c:pt>
                <c:pt idx="4">
                  <c:v>6.5500000000000003E-2</c:v>
                </c:pt>
                <c:pt idx="5">
                  <c:v>-1.9599999999999999E-2</c:v>
                </c:pt>
                <c:pt idx="6">
                  <c:v>0.15970000000000001</c:v>
                </c:pt>
                <c:pt idx="7">
                  <c:v>0.2712</c:v>
                </c:pt>
                <c:pt idx="8">
                  <c:v>-7.3599999999999999E-2</c:v>
                </c:pt>
                <c:pt idx="9">
                  <c:v>0.22489999999999999</c:v>
                </c:pt>
                <c:pt idx="10">
                  <c:v>5.8799999999999998E-2</c:v>
                </c:pt>
                <c:pt idx="11">
                  <c:v>0.19789999999999999</c:v>
                </c:pt>
                <c:pt idx="12">
                  <c:v>-9.5500000000000002E-2</c:v>
                </c:pt>
                <c:pt idx="13">
                  <c:v>0.13769999999999999</c:v>
                </c:pt>
                <c:pt idx="14">
                  <c:v>0.1399</c:v>
                </c:pt>
                <c:pt idx="15">
                  <c:v>0.15640000000000001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'Analyse DOW RP'!$A$2:$A$17</c15:f>
                <c15:dlblRangeCache>
                  <c:ptCount val="16"/>
                  <c:pt idx="0">
                    <c:v>2010</c:v>
                  </c:pt>
                  <c:pt idx="1">
                    <c:v>2011</c:v>
                  </c:pt>
                  <c:pt idx="2">
                    <c:v>2012</c:v>
                  </c:pt>
                  <c:pt idx="3">
                    <c:v>2013</c:v>
                  </c:pt>
                  <c:pt idx="4">
                    <c:v>2014</c:v>
                  </c:pt>
                  <c:pt idx="5">
                    <c:v>2015</c:v>
                  </c:pt>
                  <c:pt idx="6">
                    <c:v>2016</c:v>
                  </c:pt>
                  <c:pt idx="7">
                    <c:v>2017</c:v>
                  </c:pt>
                  <c:pt idx="8">
                    <c:v>2018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2023</c:v>
                  </c:pt>
                  <c:pt idx="14">
                    <c:v>2024</c:v>
                  </c:pt>
                  <c:pt idx="15">
                    <c:v>2025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00-4B2C-AFE7-DA53EEBB4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840528"/>
        <c:axId val="829834288"/>
      </c:scatterChart>
      <c:valAx>
        <c:axId val="82984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34288"/>
        <c:crosses val="autoZero"/>
        <c:crossBetween val="midCat"/>
      </c:valAx>
      <c:valAx>
        <c:axId val="8298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84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Rendements annuels </a:t>
            </a:r>
            <a:r>
              <a:rPr lang="en-US" sz="1400" b="0" i="0" u="none" strike="noStrike" baseline="0"/>
              <a:t>Dow Jones</a:t>
            </a:r>
            <a:endParaRPr lang="en-US"/>
          </a:p>
        </c:rich>
      </c:tx>
      <c:layout>
        <c:manualLayout>
          <c:xMode val="edge"/>
          <c:yMode val="edge"/>
          <c:x val="0.2283055555555555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'Analyse DOW RP'!$O$2:$O$5</c:f>
              <c:strCache>
                <c:ptCount val="4"/>
                <c:pt idx="0">
                  <c:v>2010-2014</c:v>
                </c:pt>
                <c:pt idx="1">
                  <c:v>2017-2019</c:v>
                </c:pt>
                <c:pt idx="2">
                  <c:v>2020-2021</c:v>
                </c:pt>
                <c:pt idx="3">
                  <c:v>2024-2025</c:v>
                </c:pt>
              </c:strCache>
            </c:strRef>
          </c:cat>
          <c:val>
            <c:numRef>
              <c:f>'Analyse DOW RP'!$Q$2:$Q$5</c:f>
              <c:numCache>
                <c:formatCode>0.00%</c:formatCode>
                <c:ptCount val="4"/>
                <c:pt idx="0">
                  <c:v>0.10762000000000001</c:v>
                </c:pt>
                <c:pt idx="1">
                  <c:v>0.14083333333333334</c:v>
                </c:pt>
                <c:pt idx="2">
                  <c:v>0.12834999999999999</c:v>
                </c:pt>
                <c:pt idx="3">
                  <c:v>0.14815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3-4A10-9357-A865EF2C4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7254736"/>
        <c:axId val="1347261936"/>
      </c:barChart>
      <c:catAx>
        <c:axId val="1347254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61936"/>
        <c:crosses val="autoZero"/>
        <c:auto val="1"/>
        <c:lblAlgn val="ctr"/>
        <c:lblOffset val="100"/>
        <c:noMultiLvlLbl val="0"/>
      </c:catAx>
      <c:valAx>
        <c:axId val="134726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5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Evolution historique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110004020202020204"/>
            </a:rPr>
            <a:t>Evolution historique</a:t>
          </a:r>
        </a:p>
      </cx:txPr>
    </cx:title>
    <cx:plotArea>
      <cx:plotAreaRegion>
        <cx:series layoutId="waterfall" uniqueId="{00000004-5B8D-4A31-9E61-79314F8088DB}">
          <cx:tx>
            <cx:txData>
              <cx:f>_xlchart.v1.1</cx:f>
              <cx:v>Variation nette</cx:v>
            </cx:txData>
          </cx:tx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150677</xdr:rowOff>
    </xdr:from>
    <xdr:to>
      <xdr:col>9</xdr:col>
      <xdr:colOff>981364</xdr:colOff>
      <xdr:row>52</xdr:row>
      <xdr:rowOff>173182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6A27D2D-F5F9-6AFA-5D4F-5D09D1F3DD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043477"/>
              <a:ext cx="9306214" cy="3705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17</xdr:row>
      <xdr:rowOff>159611</xdr:rowOff>
    </xdr:from>
    <xdr:to>
      <xdr:col>9</xdr:col>
      <xdr:colOff>992908</xdr:colOff>
      <xdr:row>32</xdr:row>
      <xdr:rowOff>185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A257DC-1032-4D3C-AC39-38CE59B77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23091</xdr:colOff>
      <xdr:row>0</xdr:row>
      <xdr:rowOff>0</xdr:rowOff>
    </xdr:from>
    <xdr:to>
      <xdr:col>23</xdr:col>
      <xdr:colOff>219028</xdr:colOff>
      <xdr:row>23</xdr:row>
      <xdr:rowOff>162203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AEE13-0A1C-4966-B6B0-7C31090F9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121594</xdr:rowOff>
    </xdr:from>
    <xdr:to>
      <xdr:col>8</xdr:col>
      <xdr:colOff>2945319</xdr:colOff>
      <xdr:row>86</xdr:row>
      <xdr:rowOff>108085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B18FFF-1227-4AF8-AB1B-71BB3D342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127548</xdr:colOff>
      <xdr:row>18</xdr:row>
      <xdr:rowOff>92034</xdr:rowOff>
    </xdr:from>
    <xdr:to>
      <xdr:col>8</xdr:col>
      <xdr:colOff>65690</xdr:colOff>
      <xdr:row>42</xdr:row>
      <xdr:rowOff>36068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760ED-0648-AA12-0731-9BC784477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257298</xdr:colOff>
      <xdr:row>6</xdr:row>
      <xdr:rowOff>7706</xdr:rowOff>
    </xdr:from>
    <xdr:to>
      <xdr:col>17</xdr:col>
      <xdr:colOff>10949</xdr:colOff>
      <xdr:row>20</xdr:row>
      <xdr:rowOff>171705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3EDCB6-3FA5-38D8-4B64-2C6CC3902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30_graph_linked_to_data.xlsx" TargetMode="External"/><Relationship Id="rId2" Type="http://schemas.openxmlformats.org/officeDocument/2006/relationships/externalLinkPath" Target="file:///C:\Users\plotn\Downloads\DOW30_graph_linked_to_data.xlsx" TargetMode="External"/><Relationship Id="rId1" Type="http://schemas.openxmlformats.org/officeDocument/2006/relationships/externalLinkPath" Target="/Users/plotn/Downloads/DOW30_graph_linked_to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posantes DOW 30"/>
      <sheetName val="Graphique"/>
    </sheetNames>
    <sheetDataSet>
      <sheetData sheetId="0">
        <row r="1">
          <cell r="F1" t="str">
            <v>Performance de l'entreprise 2010-2025 (%)</v>
          </cell>
          <cell r="H1" t="str">
            <v>Performance du secteur 2010-2025 (%)</v>
          </cell>
        </row>
        <row r="2">
          <cell r="F2">
            <v>4183.6899999999996</v>
          </cell>
          <cell r="H2">
            <v>8971.17</v>
          </cell>
          <cell r="I2" t="str">
            <v>AAPL - Apple Inc.</v>
          </cell>
        </row>
        <row r="3">
          <cell r="F3">
            <v>733.47</v>
          </cell>
          <cell r="H3">
            <v>699.58</v>
          </cell>
          <cell r="I3" t="str">
            <v>AMGN - Amgen Inc.</v>
          </cell>
        </row>
        <row r="4">
          <cell r="F4">
            <v>3213.76</v>
          </cell>
          <cell r="H4">
            <v>1466.01</v>
          </cell>
          <cell r="I4" t="str">
            <v>AMZN - Amazon.com, Inc.</v>
          </cell>
        </row>
        <row r="5">
          <cell r="F5">
            <v>1032.77</v>
          </cell>
          <cell r="H5">
            <v>1032.6400000000001</v>
          </cell>
          <cell r="I5" t="str">
            <v>AXP - American Express Company</v>
          </cell>
        </row>
        <row r="6">
          <cell r="F6">
            <v>405.32</v>
          </cell>
          <cell r="H6">
            <v>677.02</v>
          </cell>
          <cell r="I6" t="str">
            <v>BA - The Boeing Company</v>
          </cell>
        </row>
        <row r="7">
          <cell r="F7">
            <v>1359.03</v>
          </cell>
          <cell r="H7">
            <v>677.02</v>
          </cell>
          <cell r="I7" t="str">
            <v>CAT - Caterpillar Inc.</v>
          </cell>
        </row>
        <row r="8">
          <cell r="F8">
            <v>1356.83</v>
          </cell>
          <cell r="H8">
            <v>8971.17</v>
          </cell>
          <cell r="I8" t="str">
            <v>CRM - Salesforce, Inc.</v>
          </cell>
        </row>
        <row r="9">
          <cell r="F9">
            <v>391.75</v>
          </cell>
          <cell r="H9">
            <v>8971.17</v>
          </cell>
          <cell r="I9" t="str">
            <v>CSCO - Cisco Systems, Inc.</v>
          </cell>
        </row>
        <row r="10">
          <cell r="F10">
            <v>271.83</v>
          </cell>
          <cell r="H10">
            <v>271.83</v>
          </cell>
          <cell r="I10" t="str">
            <v>CVX - Chevron Corporation</v>
          </cell>
        </row>
        <row r="11">
          <cell r="F11">
            <v>318.95999999999998</v>
          </cell>
          <cell r="H11">
            <v>256.64999999999998</v>
          </cell>
          <cell r="I11" t="str">
            <v>DIS - The Walt Disney Company</v>
          </cell>
        </row>
        <row r="12">
          <cell r="F12">
            <v>611.13</v>
          </cell>
          <cell r="H12">
            <v>1032.6400000000001</v>
          </cell>
          <cell r="I12" t="str">
            <v>GS - The Goldman Sachs Group, Inc.</v>
          </cell>
        </row>
        <row r="13">
          <cell r="F13">
            <v>1627.41</v>
          </cell>
          <cell r="H13">
            <v>1466.01</v>
          </cell>
          <cell r="I13" t="str">
            <v>HD - The Home Depot, Inc.</v>
          </cell>
        </row>
        <row r="14">
          <cell r="F14">
            <v>673.08</v>
          </cell>
          <cell r="H14">
            <v>677.02</v>
          </cell>
          <cell r="I14" t="str">
            <v>HON - Honeywell International Inc.</v>
          </cell>
        </row>
        <row r="15">
          <cell r="F15">
            <v>306.86</v>
          </cell>
          <cell r="H15">
            <v>8971.17</v>
          </cell>
          <cell r="I15" t="str">
            <v>IBM - International Business Machines Corporation</v>
          </cell>
        </row>
        <row r="16">
          <cell r="F16">
            <v>409.97</v>
          </cell>
          <cell r="H16">
            <v>699.58</v>
          </cell>
          <cell r="I16" t="str">
            <v>JNJ - Johnson &amp; Johnson</v>
          </cell>
        </row>
        <row r="17">
          <cell r="F17">
            <v>1060.49</v>
          </cell>
          <cell r="H17">
            <v>1032.6400000000001</v>
          </cell>
          <cell r="I17" t="str">
            <v>JPM - JPMorgan Chase &amp; Co.</v>
          </cell>
        </row>
        <row r="18">
          <cell r="F18">
            <v>298.17</v>
          </cell>
          <cell r="H18">
            <v>444.67</v>
          </cell>
          <cell r="I18" t="str">
            <v>KO - The Coca-Cola Company</v>
          </cell>
        </row>
        <row r="19">
          <cell r="F19">
            <v>643.74</v>
          </cell>
          <cell r="H19">
            <v>1466.01</v>
          </cell>
          <cell r="I19" t="str">
            <v>MCD - McDonald's Corporation</v>
          </cell>
        </row>
        <row r="20">
          <cell r="F20">
            <v>270.64</v>
          </cell>
          <cell r="H20">
            <v>677.02</v>
          </cell>
          <cell r="I20" t="str">
            <v>MMM - 3M Company</v>
          </cell>
        </row>
        <row r="21">
          <cell r="F21">
            <v>406.83</v>
          </cell>
          <cell r="H21">
            <v>699.58</v>
          </cell>
          <cell r="I21" t="str">
            <v>MRK - Merck &amp; Co., Inc.</v>
          </cell>
        </row>
        <row r="22">
          <cell r="F22">
            <v>1976.12</v>
          </cell>
          <cell r="H22">
            <v>8971.17</v>
          </cell>
          <cell r="I22" t="str">
            <v>MSFT - Microsoft Corporation</v>
          </cell>
        </row>
        <row r="23">
          <cell r="F23">
            <v>379.14</v>
          </cell>
          <cell r="H23">
            <v>1466.01</v>
          </cell>
          <cell r="I23" t="str">
            <v>NKE - NIKE, Inc.</v>
          </cell>
        </row>
        <row r="24">
          <cell r="F24">
            <v>45611.75</v>
          </cell>
          <cell r="H24">
            <v>8971.17</v>
          </cell>
          <cell r="I24" t="str">
            <v>NVDA - NVIDIA Corporation</v>
          </cell>
        </row>
        <row r="25">
          <cell r="F25">
            <v>272.25</v>
          </cell>
          <cell r="H25">
            <v>444.67</v>
          </cell>
          <cell r="I25" t="str">
            <v>PG - The Procter &amp; Gamble Company</v>
          </cell>
        </row>
        <row r="26">
          <cell r="F26">
            <v>1762.86</v>
          </cell>
          <cell r="H26">
            <v>1762.86</v>
          </cell>
          <cell r="I26" t="str">
            <v>SHW - The Sherwin-Williams Company</v>
          </cell>
        </row>
        <row r="27">
          <cell r="F27">
            <v>745.23</v>
          </cell>
          <cell r="H27">
            <v>1032.6400000000001</v>
          </cell>
          <cell r="I27" t="str">
            <v>TRV - The Travelers Companies, Inc.</v>
          </cell>
        </row>
        <row r="28">
          <cell r="F28">
            <v>1248.04</v>
          </cell>
          <cell r="H28">
            <v>699.58</v>
          </cell>
          <cell r="I28" t="str">
            <v>UNH - UnitedHealth Group Incorporated</v>
          </cell>
        </row>
        <row r="29">
          <cell r="F29">
            <v>1713.57</v>
          </cell>
          <cell r="H29">
            <v>1032.6400000000001</v>
          </cell>
          <cell r="I29" t="str">
            <v>V - Visa Inc.</v>
          </cell>
        </row>
        <row r="30">
          <cell r="F30">
            <v>194.34</v>
          </cell>
          <cell r="H30">
            <v>256.64999999999998</v>
          </cell>
          <cell r="I30" t="str">
            <v>VZ - Verizon Communications Inc.</v>
          </cell>
        </row>
        <row r="31">
          <cell r="F31">
            <v>763.6</v>
          </cell>
          <cell r="H31">
            <v>444.67</v>
          </cell>
          <cell r="I31" t="str">
            <v>WMT - Walmart Inc.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490819-1B84-42C9-BF40-AD55B9C7B3F3}" name="Table2" displayName="Table2" ref="A1:J17" totalsRowShown="0">
  <autoFilter ref="A1:J17" xr:uid="{D9490819-1B84-42C9-BF40-AD55B9C7B3F3}"/>
  <tableColumns count="10">
    <tableColumn id="1" xr3:uid="{07EDC1BD-2085-4B9F-9DA5-C5AECABF74A6}" name="Année"/>
    <tableColumn id="2" xr3:uid="{249AB4CB-0CEE-4797-8AFC-1BA7B06B4514}" name="Ouverture" dataDxfId="22"/>
    <tableColumn id="3" xr3:uid="{0530DF55-6A64-440A-BD01-BD8E384D4C88}" name="Plus haut" dataDxfId="21"/>
    <tableColumn id="4" xr3:uid="{49ADD87B-CD66-412A-97E1-226C8485FF47}" name="Plus bas" dataDxfId="20"/>
    <tableColumn id="5" xr3:uid="{154EA334-DF10-41B5-9F8A-E646F593A5C4}" name="Clôture"/>
    <tableColumn id="6" xr3:uid="{76C13A44-4031-45AA-8C81-B20CE419B0F7}" name="Volume" dataDxfId="19"/>
    <tableColumn id="7" xr3:uid="{27F51175-D12F-4B3F-93ED-C0DEAF7F4D7C}" name="Variation nette" dataDxfId="18">
      <calculatedColumnFormula>_xlfn.LET(_xlpm.PrixDeCloture, E2, _xlpm.PrixOuverture, B2, _xlpm.PrixDeCloture - _xlpm.PrixOuverture)</calculatedColumnFormula>
    </tableColumn>
    <tableColumn id="8" xr3:uid="{2B135B09-DA38-432C-A7A8-97C3458C360B}" name="% Valorisation" dataDxfId="17">
      <calculatedColumnFormula>IFERROR(VALUE($G2)/$B2, "None")</calculatedColumnFormula>
    </tableColumn>
    <tableColumn id="9" xr3:uid="{1E151AB1-F0C0-41D5-B47C-E9A6A1CC95D4}" name="Taux d'Inflation" dataDxfId="16"/>
    <tableColumn id="10" xr3:uid="{594E80A8-22BB-4ADE-AADD-FAA43FA4A338}" name="Diviseur du Dow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3DD1FD-0C16-4527-A8EA-B095DAE0F83F}" name="Table3" displayName="Table3" ref="A1:I31" totalsRowShown="0" headerRowDxfId="14">
  <autoFilter ref="A1:I31" xr:uid="{153DD1FD-0C16-4527-A8EA-B095DAE0F83F}"/>
  <tableColumns count="9">
    <tableColumn id="1" xr3:uid="{961BEC77-A9A7-433D-AB49-66A017DAE7C1}" name="Enterprise"/>
    <tableColumn id="2" xr3:uid="{C020172B-B138-4F3B-9CB7-775AF2FD6DEA}" name="Symbole boursier"/>
    <tableColumn id="3" xr3:uid="{7600E648-79E0-4A95-A77F-738039D46BCA}" name="Secteur"/>
    <tableColumn id="4" xr3:uid="{D910A3A5-7D71-46D3-8E1E-62DD0D7DB2F2}" name="Cours de l'action en 2025 ($)" dataDxfId="0"/>
    <tableColumn id="5" xr3:uid="{B2768126-D152-405B-B0A3-F32FF2F6C1A6}" name="Performance de l'entreprise en % 2025"/>
    <tableColumn id="6" xr3:uid="{C817E6B7-1CF0-45E0-B086-2AF7B9B8BFE6}" name="Performance de l'entreprise 2010-2025 (%)"/>
    <tableColumn id="7" xr3:uid="{13B9A148-A696-43D6-95ED-1EB83106F92C}" name="Performance du secteur 2025 (%)"/>
    <tableColumn id="8" xr3:uid="{994A43E4-C17D-4C53-8489-A1B3684B63AD}" name="Performance du secteur 2010-2025 (%)"/>
    <tableColumn id="9" xr3:uid="{C28487B2-2D4A-4EE4-B6F7-03CED1803F0A}" name="Lab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6299D0-5AB3-4480-AC51-92F4B3787505}" name="Table4" displayName="Table4" ref="A1:D17" totalsRowShown="0" headerRowDxfId="13" dataDxfId="12">
  <autoFilter ref="A1:D17" xr:uid="{046299D0-5AB3-4480-AC51-92F4B3787505}"/>
  <tableColumns count="4">
    <tableColumn id="1" xr3:uid="{753F54C7-E0B7-446D-BFE3-34E624B249DC}" name="Année" dataDxfId="11"/>
    <tableColumn id="2" xr3:uid="{5BCCA90F-4C2E-433A-980A-6780D05E5362}" name="Taux des fonds fédéraux (Fed) (%)" dataDxfId="10"/>
    <tableColumn id="3" xr3:uid="{109EB7BA-9074-442D-9F3E-367CBAC3D31F}" name="Taux d'inflation (%)" dataDxfId="9"/>
    <tableColumn id="4" xr3:uid="{0C7FD39C-E8F4-47D6-A93B-F6C438423A56}" name="Croissance du PIB (%)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DB5F3F-A25D-4D6F-B4BE-77894267D34C}" name="Table5" displayName="Table5" ref="A1:C17" totalsRowShown="0" headerRowDxfId="7" dataDxfId="6">
  <autoFilter ref="A1:C17" xr:uid="{97DB5F3F-A25D-4D6F-B4BE-77894267D34C}"/>
  <tableColumns count="3">
    <tableColumn id="1" xr3:uid="{1C447E78-D6D0-45C4-9AE2-06D42F70C981}" name="Année" dataDxfId="5"/>
    <tableColumn id="2" xr3:uid="{32678851-068D-49BA-8E8D-51B2F9C60180}" name="Ratio bénéfice prévisionnel DOW 30" dataDxfId="2"/>
    <tableColumn id="3" xr3:uid="{28E3811D-BAFE-474A-B289-441CB10897E1}" name="Rendement exactement un an plus tard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45BD89-E02B-4B56-930A-985824373095}" name="Table6" displayName="Table6" ref="O1:Q5" totalsRowShown="0">
  <autoFilter ref="O1:Q5" xr:uid="{3745BD89-E02B-4B56-930A-985824373095}"/>
  <tableColumns count="3">
    <tableColumn id="1" xr3:uid="{27B979CD-4B60-489E-9B02-41A3DC762273}" name="Année"/>
    <tableColumn id="2" xr3:uid="{FAC71C16-43AD-4E2B-8071-D1477ADEC10F}" name="Ratio bénéfice prévisionnel DOW 30" dataDxfId="1"/>
    <tableColumn id="3" xr3:uid="{5D4DA678-D99B-4885-8EEA-1217292A6ECB}" name="Rendement un an plus tar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%5EDJI/history/" TargetMode="External"/><Relationship Id="rId3" Type="http://schemas.openxmlformats.org/officeDocument/2006/relationships/hyperlink" Target="https://www.spglobal.com/spdji/en/indices/equity/dow-jones-industrial-average/" TargetMode="External"/><Relationship Id="rId7" Type="http://schemas.openxmlformats.org/officeDocument/2006/relationships/hyperlink" Target="https://www.spglobal.com/spdji/en/indices/equity/dow-jones-industrial-average/" TargetMode="External"/><Relationship Id="rId2" Type="http://schemas.openxmlformats.org/officeDocument/2006/relationships/hyperlink" Target="https://www.google.com/search?q=https://stooq.com/q/d/l/%3Fs%3D%5Edji%26i%3Dd" TargetMode="External"/><Relationship Id="rId1" Type="http://schemas.openxmlformats.org/officeDocument/2006/relationships/hyperlink" Target="https://finance.yahoo.com/quote/%5EDJI/history/" TargetMode="External"/><Relationship Id="rId6" Type="http://schemas.openxmlformats.org/officeDocument/2006/relationships/hyperlink" Target="https://fred.stlouisfed.org/series/FEDFUNDS" TargetMode="External"/><Relationship Id="rId5" Type="http://schemas.openxmlformats.org/officeDocument/2006/relationships/hyperlink" Target="https://finance.yahoo.com/quote/XLK/history/" TargetMode="External"/><Relationship Id="rId4" Type="http://schemas.openxmlformats.org/officeDocument/2006/relationships/hyperlink" Target="https://en.wikipedia.org/wiki/Dow_Jones_Industrial_Average" TargetMode="External"/><Relationship Id="rId9" Type="http://schemas.openxmlformats.org/officeDocument/2006/relationships/hyperlink" Target="https://www.econ.yale.edu/~shiller/data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790A-8CC8-4D53-880A-A585B9714D59}">
  <sheetPr codeName="Sheet1"/>
  <dimension ref="A1:J17"/>
  <sheetViews>
    <sheetView zoomScale="59" workbookViewId="0">
      <selection activeCell="A56" sqref="A56"/>
    </sheetView>
  </sheetViews>
  <sheetFormatPr defaultRowHeight="14.5" x14ac:dyDescent="0.35"/>
  <cols>
    <col min="2" max="2" width="15.26953125" customWidth="1"/>
    <col min="3" max="3" width="13.90625" customWidth="1"/>
    <col min="4" max="4" width="9.90625" customWidth="1"/>
    <col min="5" max="5" width="9.08984375" customWidth="1"/>
    <col min="6" max="6" width="17.54296875" bestFit="1" customWidth="1"/>
    <col min="7" max="7" width="15" customWidth="1"/>
    <col min="8" max="8" width="14.7265625" customWidth="1"/>
    <col min="9" max="9" width="15" customWidth="1"/>
    <col min="10" max="10" width="16" customWidth="1"/>
  </cols>
  <sheetData>
    <row r="1" spans="1:10" x14ac:dyDescent="0.35">
      <c r="A1" t="s">
        <v>149</v>
      </c>
      <c r="B1" t="s">
        <v>150</v>
      </c>
      <c r="C1" t="s">
        <v>151</v>
      </c>
      <c r="D1" t="s">
        <v>152</v>
      </c>
      <c r="E1" t="s">
        <v>153</v>
      </c>
      <c r="F1" t="s">
        <v>1</v>
      </c>
      <c r="G1" t="s">
        <v>154</v>
      </c>
      <c r="H1" t="s">
        <v>0</v>
      </c>
      <c r="I1" t="s">
        <v>3</v>
      </c>
      <c r="J1" t="s">
        <v>155</v>
      </c>
    </row>
    <row r="2" spans="1:10" x14ac:dyDescent="0.35">
      <c r="A2">
        <v>2010</v>
      </c>
      <c r="B2" s="1">
        <v>10430.6904296875</v>
      </c>
      <c r="C2" s="1">
        <v>11625</v>
      </c>
      <c r="D2" s="1">
        <v>9614.3203125</v>
      </c>
      <c r="E2">
        <v>11577.509765625</v>
      </c>
      <c r="F2" s="8">
        <v>50851930000</v>
      </c>
      <c r="G2" s="1">
        <f>_xlfn.LET(_xlpm.PrixDeCloture, E2, _xlpm.PrixOuverture, B2, _xlpm.PrixDeCloture - _xlpm.PrixOuverture)</f>
        <v>1146.8193359375</v>
      </c>
      <c r="H2" s="2">
        <f t="shared" ref="H2:H16" si="0">IFERROR(VALUE($G2)/$B2, "None")</f>
        <v>0.10994663715389916</v>
      </c>
      <c r="I2" s="3" t="s">
        <v>2</v>
      </c>
      <c r="J2" s="7">
        <v>0.13231912900000001</v>
      </c>
    </row>
    <row r="3" spans="1:10" x14ac:dyDescent="0.35">
      <c r="A3">
        <v>2011</v>
      </c>
      <c r="B3" s="1">
        <v>11577.4296875</v>
      </c>
      <c r="C3" s="1">
        <v>12876</v>
      </c>
      <c r="D3" s="1">
        <v>10404.490234375</v>
      </c>
      <c r="E3">
        <v>12217.5595703125</v>
      </c>
      <c r="F3" s="8">
        <v>45464150000</v>
      </c>
      <c r="G3" s="1">
        <f t="shared" ref="G3:G17" si="1">_xlfn.LET(_xlpm.PrixDeCloture, E3, _xlpm.PrixOuverture, B3, _xlpm.PrixDeCloture - _xlpm.PrixOuverture)</f>
        <v>640.1298828125</v>
      </c>
      <c r="H3" s="2">
        <f t="shared" si="0"/>
        <v>5.5291191576282248E-2</v>
      </c>
      <c r="I3" s="4">
        <v>3.2000000000000001E-2</v>
      </c>
      <c r="J3" s="7">
        <v>0.13212949299999999</v>
      </c>
    </row>
    <row r="4" spans="1:10" x14ac:dyDescent="0.35">
      <c r="A4">
        <v>2012</v>
      </c>
      <c r="B4" s="1">
        <v>12221.1904296875</v>
      </c>
      <c r="C4" s="1">
        <v>13661.8701171875</v>
      </c>
      <c r="D4" s="1">
        <v>12035.08984375</v>
      </c>
      <c r="E4">
        <v>13104.1396484375</v>
      </c>
      <c r="F4" s="8">
        <v>32815150000</v>
      </c>
      <c r="G4" s="1">
        <f t="shared" si="1"/>
        <v>882.94921875</v>
      </c>
      <c r="H4" s="2">
        <f t="shared" si="0"/>
        <v>7.2247398797187168E-2</v>
      </c>
      <c r="I4" s="4">
        <v>2.1000000000000001E-2</v>
      </c>
      <c r="J4" s="7">
        <v>0.13212949299999999</v>
      </c>
    </row>
    <row r="5" spans="1:10" x14ac:dyDescent="0.35">
      <c r="A5">
        <v>2013</v>
      </c>
      <c r="B5" s="1">
        <v>13104.2998046875</v>
      </c>
      <c r="C5" s="1">
        <v>16588.25</v>
      </c>
      <c r="D5" s="1">
        <v>13104.2998046875</v>
      </c>
      <c r="E5">
        <v>16576.66015625</v>
      </c>
      <c r="F5" s="8">
        <v>29847730000</v>
      </c>
      <c r="G5" s="1">
        <f t="shared" si="1"/>
        <v>3472.3603515625</v>
      </c>
      <c r="H5" s="2">
        <f t="shared" si="0"/>
        <v>0.26497870190060918</v>
      </c>
      <c r="I5" s="4">
        <v>1.4999999999999999E-2</v>
      </c>
      <c r="J5" s="7">
        <v>0.13021608100000001</v>
      </c>
    </row>
    <row r="6" spans="1:10" x14ac:dyDescent="0.35">
      <c r="A6">
        <v>2014</v>
      </c>
      <c r="B6" s="1">
        <v>16572.169921875</v>
      </c>
      <c r="C6" s="1">
        <v>18103.44921875</v>
      </c>
      <c r="D6" s="1">
        <v>15340.6904296875</v>
      </c>
      <c r="E6">
        <v>17823.0703125</v>
      </c>
      <c r="F6" s="8">
        <v>23407060000</v>
      </c>
      <c r="G6" s="1">
        <f t="shared" si="1"/>
        <v>1250.900390625</v>
      </c>
      <c r="H6" s="2">
        <f t="shared" si="0"/>
        <v>7.5481991587223074E-2</v>
      </c>
      <c r="I6" s="4">
        <v>1.6E-2</v>
      </c>
      <c r="J6" s="7">
        <v>0.15571590499999999</v>
      </c>
    </row>
    <row r="7" spans="1:10" x14ac:dyDescent="0.35">
      <c r="A7">
        <v>2015</v>
      </c>
      <c r="B7" s="1">
        <v>17823.0703125</v>
      </c>
      <c r="C7" s="1">
        <v>18351.359375</v>
      </c>
      <c r="D7" s="1">
        <v>15370.330078125</v>
      </c>
      <c r="E7">
        <v>17425.029296875</v>
      </c>
      <c r="F7" s="8">
        <v>27567720000</v>
      </c>
      <c r="G7" s="1">
        <f t="shared" si="1"/>
        <v>-398.041015625</v>
      </c>
      <c r="H7" s="2">
        <f t="shared" si="0"/>
        <v>-2.2332909462060454E-2</v>
      </c>
      <c r="I7" s="4">
        <v>1E-3</v>
      </c>
      <c r="J7" s="7">
        <v>0.15571590499999999</v>
      </c>
    </row>
    <row r="8" spans="1:10" x14ac:dyDescent="0.35">
      <c r="A8">
        <v>2016</v>
      </c>
      <c r="B8" s="1">
        <v>17405.48046875</v>
      </c>
      <c r="C8" s="1">
        <v>19987.630859375</v>
      </c>
      <c r="D8" s="1">
        <v>15450.5595703125</v>
      </c>
      <c r="E8">
        <v>19762.599609375</v>
      </c>
      <c r="F8" s="8">
        <v>29536640000</v>
      </c>
      <c r="G8" s="1">
        <f t="shared" si="1"/>
        <v>2357.119140625</v>
      </c>
      <c r="H8" s="2">
        <f t="shared" si="0"/>
        <v>0.13542396286370828</v>
      </c>
      <c r="I8" s="4">
        <v>1.2999999999999999E-2</v>
      </c>
      <c r="J8" s="7">
        <v>0.14961740700000001</v>
      </c>
    </row>
    <row r="9" spans="1:10" x14ac:dyDescent="0.35">
      <c r="A9">
        <v>2017</v>
      </c>
      <c r="B9" s="1">
        <v>19872.859375</v>
      </c>
      <c r="C9" s="1">
        <v>24876.0703125</v>
      </c>
      <c r="D9" s="1">
        <v>19677.939453125</v>
      </c>
      <c r="E9">
        <v>24719.220703125</v>
      </c>
      <c r="F9" s="8">
        <v>78121590000</v>
      </c>
      <c r="G9" s="1">
        <f t="shared" si="1"/>
        <v>4846.361328125</v>
      </c>
      <c r="H9" s="2">
        <f t="shared" si="0"/>
        <v>0.24386834509691688</v>
      </c>
      <c r="I9" s="4">
        <v>2.1000000000000001E-2</v>
      </c>
      <c r="J9" s="7">
        <v>0.146021284</v>
      </c>
    </row>
    <row r="10" spans="1:10" x14ac:dyDescent="0.35">
      <c r="A10">
        <v>2018</v>
      </c>
      <c r="B10" s="1">
        <v>24809.349609375</v>
      </c>
      <c r="C10" s="1">
        <v>26951.810546875</v>
      </c>
      <c r="D10" s="1">
        <v>21712.529296875</v>
      </c>
      <c r="E10">
        <v>23327.4609375</v>
      </c>
      <c r="F10" s="8">
        <v>90202130000</v>
      </c>
      <c r="G10" s="1">
        <f t="shared" si="1"/>
        <v>-1481.888671875</v>
      </c>
      <c r="H10" s="2">
        <f t="shared" si="0"/>
        <v>-5.9731056847819236E-2</v>
      </c>
      <c r="I10" s="4">
        <v>2.4E-2</v>
      </c>
      <c r="J10" s="7">
        <v>0.14523396899999999</v>
      </c>
    </row>
    <row r="11" spans="1:10" x14ac:dyDescent="0.35">
      <c r="A11">
        <v>2019</v>
      </c>
      <c r="B11" s="1">
        <v>23058.609375</v>
      </c>
      <c r="C11" s="1">
        <v>28701.66015625</v>
      </c>
      <c r="D11" s="1">
        <v>22638.41015625</v>
      </c>
      <c r="E11">
        <v>28538.439453125</v>
      </c>
      <c r="F11" s="8">
        <v>69140750000</v>
      </c>
      <c r="G11" s="1">
        <f t="shared" si="1"/>
        <v>5479.830078125</v>
      </c>
      <c r="H11" s="2">
        <f t="shared" si="0"/>
        <v>0.23764789927298033</v>
      </c>
      <c r="I11" s="4">
        <v>1.7999999999999999E-2</v>
      </c>
      <c r="J11" s="7">
        <v>0.14748012499999999</v>
      </c>
    </row>
    <row r="12" spans="1:10" x14ac:dyDescent="0.35">
      <c r="A12">
        <v>2020</v>
      </c>
      <c r="B12" s="1">
        <v>28638.970703125</v>
      </c>
      <c r="C12" s="1">
        <v>30637.470703125</v>
      </c>
      <c r="D12" s="1">
        <v>18213.650390625</v>
      </c>
      <c r="E12">
        <v>30606.48046875</v>
      </c>
      <c r="F12" s="8">
        <v>106187440000</v>
      </c>
      <c r="G12" s="1">
        <f t="shared" si="1"/>
        <v>1967.509765625</v>
      </c>
      <c r="H12" s="2">
        <f t="shared" si="0"/>
        <v>6.8700435711200727E-2</v>
      </c>
      <c r="I12" s="4">
        <v>1.2E-2</v>
      </c>
      <c r="J12" s="7">
        <v>0.14744569399999999</v>
      </c>
    </row>
    <row r="13" spans="1:10" x14ac:dyDescent="0.35">
      <c r="A13">
        <v>2021</v>
      </c>
      <c r="B13" s="1">
        <v>30627.470703125</v>
      </c>
      <c r="C13" s="1">
        <v>36679.44140625</v>
      </c>
      <c r="D13" s="1">
        <v>29856.30078125</v>
      </c>
      <c r="E13">
        <v>36338.30078125</v>
      </c>
      <c r="F13" s="8">
        <v>85755510000</v>
      </c>
      <c r="G13" s="1">
        <f t="shared" si="1"/>
        <v>5710.830078125</v>
      </c>
      <c r="H13" s="2">
        <f t="shared" si="0"/>
        <v>0.18646104124890434</v>
      </c>
      <c r="I13" s="4">
        <v>4.7E-2</v>
      </c>
      <c r="J13" s="7">
        <v>0.151987076</v>
      </c>
    </row>
    <row r="14" spans="1:10" x14ac:dyDescent="0.35">
      <c r="A14">
        <v>2022</v>
      </c>
      <c r="B14" s="1">
        <v>36321.58984375</v>
      </c>
      <c r="C14" s="1">
        <v>36952.6484375</v>
      </c>
      <c r="D14" s="1">
        <v>28660.939453125</v>
      </c>
      <c r="E14">
        <v>33147.25</v>
      </c>
      <c r="F14" s="8">
        <v>92012480000</v>
      </c>
      <c r="G14" s="1">
        <f t="shared" si="1"/>
        <v>-3174.33984375</v>
      </c>
      <c r="H14" s="2">
        <f t="shared" si="0"/>
        <v>-8.7395399193854986E-2</v>
      </c>
      <c r="I14" s="4">
        <v>0.08</v>
      </c>
      <c r="J14" s="7">
        <v>0.15185268499999999</v>
      </c>
    </row>
    <row r="15" spans="1:10" x14ac:dyDescent="0.35">
      <c r="A15">
        <v>2023</v>
      </c>
      <c r="B15" s="1">
        <v>33148.8984375</v>
      </c>
      <c r="C15" s="1">
        <v>37778.8515625</v>
      </c>
      <c r="D15" s="1">
        <v>31429.8203125</v>
      </c>
      <c r="E15">
        <v>37689.5390625</v>
      </c>
      <c r="F15" s="8">
        <v>78783250000</v>
      </c>
      <c r="G15" s="1">
        <f t="shared" si="1"/>
        <v>4540.640625</v>
      </c>
      <c r="H15" s="2">
        <f t="shared" si="0"/>
        <v>0.13697711957340211</v>
      </c>
      <c r="I15" s="4">
        <v>4.1000000000000002E-2</v>
      </c>
      <c r="J15" s="7">
        <v>0.151727526</v>
      </c>
    </row>
    <row r="16" spans="1:10" x14ac:dyDescent="0.35">
      <c r="A16">
        <v>2024</v>
      </c>
      <c r="B16" s="1">
        <v>37566.21875</v>
      </c>
      <c r="C16" s="1">
        <v>45073.62890625</v>
      </c>
      <c r="D16" s="1">
        <v>37122.94921875</v>
      </c>
      <c r="E16">
        <v>42544.21875</v>
      </c>
      <c r="F16" s="8">
        <v>94893180000</v>
      </c>
      <c r="G16" s="1">
        <f t="shared" si="1"/>
        <v>4978</v>
      </c>
      <c r="H16" s="2">
        <f t="shared" si="0"/>
        <v>0.1325126713744646</v>
      </c>
      <c r="I16" s="4">
        <v>2.9000000000000001E-2</v>
      </c>
      <c r="J16" s="7">
        <v>0.151727526</v>
      </c>
    </row>
    <row r="17" spans="1:10" x14ac:dyDescent="0.35">
      <c r="A17">
        <v>2025</v>
      </c>
      <c r="B17" s="1">
        <v>42660.08984375</v>
      </c>
      <c r="C17" s="1">
        <v>48886.859375</v>
      </c>
      <c r="D17" s="1">
        <v>36611.78125</v>
      </c>
      <c r="E17">
        <v>48063.2890625</v>
      </c>
      <c r="F17" s="8">
        <v>138701640000</v>
      </c>
      <c r="G17" s="1">
        <f t="shared" si="1"/>
        <v>5403.19921875</v>
      </c>
      <c r="H17" s="2">
        <f>IFERROR(VALUE($G17)/$B17, "None")</f>
        <v>0.12665700514321834</v>
      </c>
      <c r="I17" s="4">
        <v>2.7E-2</v>
      </c>
      <c r="J17" s="7">
        <v>0.16268413100000001</v>
      </c>
    </row>
  </sheetData>
  <conditionalFormatting sqref="H2:H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C0B9-253D-44E2-B04B-1140C2E3003C}">
  <sheetPr codeName="Sheet2"/>
  <dimension ref="A1:I31"/>
  <sheetViews>
    <sheetView tabSelected="1" topLeftCell="B5" zoomScale="69" zoomScaleNormal="76" workbookViewId="0">
      <selection activeCell="D32" sqref="D32"/>
    </sheetView>
  </sheetViews>
  <sheetFormatPr defaultRowHeight="14.5" x14ac:dyDescent="0.35"/>
  <cols>
    <col min="1" max="1" width="17.36328125" customWidth="1"/>
    <col min="2" max="2" width="17.453125" customWidth="1"/>
    <col min="3" max="3" width="19.36328125" customWidth="1"/>
    <col min="4" max="4" width="26.36328125" customWidth="1"/>
    <col min="5" max="5" width="37.453125" customWidth="1"/>
    <col min="6" max="6" width="38.453125" customWidth="1"/>
    <col min="7" max="7" width="30.6328125" customWidth="1"/>
    <col min="8" max="8" width="35.36328125" customWidth="1"/>
    <col min="9" max="9" width="42.36328125" customWidth="1"/>
  </cols>
  <sheetData>
    <row r="1" spans="1:9" ht="28.5" customHeight="1" x14ac:dyDescent="0.35">
      <c r="A1" s="6" t="s">
        <v>158</v>
      </c>
      <c r="B1" s="6" t="s">
        <v>157</v>
      </c>
      <c r="C1" s="6" t="s">
        <v>156</v>
      </c>
      <c r="D1" s="6" t="s">
        <v>165</v>
      </c>
      <c r="E1" s="6" t="s">
        <v>161</v>
      </c>
      <c r="F1" s="6" t="s">
        <v>162</v>
      </c>
      <c r="G1" s="6" t="s">
        <v>164</v>
      </c>
      <c r="H1" s="6" t="s">
        <v>163</v>
      </c>
      <c r="I1" s="14" t="s">
        <v>170</v>
      </c>
    </row>
    <row r="2" spans="1:9" x14ac:dyDescent="0.35">
      <c r="A2" t="s">
        <v>4</v>
      </c>
      <c r="B2" t="s">
        <v>5</v>
      </c>
      <c r="C2" t="s">
        <v>6</v>
      </c>
      <c r="D2" s="22">
        <v>271.86</v>
      </c>
      <c r="E2" t="s">
        <v>73</v>
      </c>
      <c r="F2" t="s">
        <v>74</v>
      </c>
      <c r="G2" t="s">
        <v>131</v>
      </c>
      <c r="H2" t="s">
        <v>132</v>
      </c>
      <c r="I2" t="s">
        <v>171</v>
      </c>
    </row>
    <row r="3" spans="1:9" x14ac:dyDescent="0.35">
      <c r="A3" t="s">
        <v>7</v>
      </c>
      <c r="B3" t="s">
        <v>8</v>
      </c>
      <c r="C3" t="s">
        <v>9</v>
      </c>
      <c r="D3" s="22">
        <v>327.31</v>
      </c>
      <c r="E3" t="s">
        <v>75</v>
      </c>
      <c r="F3" t="s">
        <v>76</v>
      </c>
      <c r="G3" t="s">
        <v>133</v>
      </c>
      <c r="H3" t="s">
        <v>134</v>
      </c>
      <c r="I3" t="s">
        <v>172</v>
      </c>
    </row>
    <row r="4" spans="1:9" x14ac:dyDescent="0.35">
      <c r="A4" t="s">
        <v>10</v>
      </c>
      <c r="B4" t="s">
        <v>11</v>
      </c>
      <c r="C4" t="s">
        <v>12</v>
      </c>
      <c r="D4" s="22">
        <v>230.82</v>
      </c>
      <c r="E4" t="s">
        <v>77</v>
      </c>
      <c r="F4" t="s">
        <v>78</v>
      </c>
      <c r="G4" t="s">
        <v>135</v>
      </c>
      <c r="H4" t="s">
        <v>136</v>
      </c>
      <c r="I4" t="s">
        <v>173</v>
      </c>
    </row>
    <row r="5" spans="1:9" x14ac:dyDescent="0.35">
      <c r="A5" t="s">
        <v>13</v>
      </c>
      <c r="B5" t="s">
        <v>14</v>
      </c>
      <c r="C5" t="s">
        <v>15</v>
      </c>
      <c r="D5" s="22">
        <v>369.13</v>
      </c>
      <c r="E5" t="s">
        <v>79</v>
      </c>
      <c r="F5" t="s">
        <v>80</v>
      </c>
      <c r="G5" t="s">
        <v>137</v>
      </c>
      <c r="H5" t="s">
        <v>138</v>
      </c>
      <c r="I5" t="s">
        <v>174</v>
      </c>
    </row>
    <row r="6" spans="1:9" x14ac:dyDescent="0.35">
      <c r="A6" t="s">
        <v>16</v>
      </c>
      <c r="B6" t="s">
        <v>17</v>
      </c>
      <c r="C6" t="s">
        <v>18</v>
      </c>
      <c r="D6" s="22">
        <v>217.12</v>
      </c>
      <c r="E6" t="s">
        <v>81</v>
      </c>
      <c r="F6" t="s">
        <v>82</v>
      </c>
      <c r="G6" t="s">
        <v>139</v>
      </c>
      <c r="H6" t="s">
        <v>140</v>
      </c>
      <c r="I6" t="s">
        <v>175</v>
      </c>
    </row>
    <row r="7" spans="1:9" x14ac:dyDescent="0.35">
      <c r="A7" t="s">
        <v>19</v>
      </c>
      <c r="B7" t="s">
        <v>20</v>
      </c>
      <c r="C7" t="s">
        <v>18</v>
      </c>
      <c r="D7" s="22">
        <v>572.87</v>
      </c>
      <c r="E7" t="s">
        <v>83</v>
      </c>
      <c r="F7" t="s">
        <v>84</v>
      </c>
      <c r="G7" t="s">
        <v>139</v>
      </c>
      <c r="H7" t="s">
        <v>140</v>
      </c>
      <c r="I7" t="s">
        <v>176</v>
      </c>
    </row>
    <row r="8" spans="1:9" x14ac:dyDescent="0.35">
      <c r="A8" t="s">
        <v>21</v>
      </c>
      <c r="B8" t="s">
        <v>22</v>
      </c>
      <c r="C8" t="s">
        <v>6</v>
      </c>
      <c r="D8" s="22">
        <v>264.91000000000003</v>
      </c>
      <c r="E8" t="s">
        <v>85</v>
      </c>
      <c r="F8" t="s">
        <v>86</v>
      </c>
      <c r="G8" t="s">
        <v>131</v>
      </c>
      <c r="H8" t="s">
        <v>132</v>
      </c>
      <c r="I8" t="s">
        <v>177</v>
      </c>
    </row>
    <row r="9" spans="1:9" x14ac:dyDescent="0.35">
      <c r="A9" t="s">
        <v>23</v>
      </c>
      <c r="B9" t="s">
        <v>24</v>
      </c>
      <c r="C9" t="s">
        <v>6</v>
      </c>
      <c r="D9" s="22">
        <v>76.62</v>
      </c>
      <c r="E9" t="s">
        <v>87</v>
      </c>
      <c r="F9" t="s">
        <v>88</v>
      </c>
      <c r="G9" t="s">
        <v>131</v>
      </c>
      <c r="H9" t="s">
        <v>132</v>
      </c>
      <c r="I9" t="s">
        <v>178</v>
      </c>
    </row>
    <row r="10" spans="1:9" x14ac:dyDescent="0.35">
      <c r="A10" t="s">
        <v>25</v>
      </c>
      <c r="B10" t="s">
        <v>26</v>
      </c>
      <c r="C10" t="s">
        <v>27</v>
      </c>
      <c r="D10" s="22">
        <v>152.41</v>
      </c>
      <c r="E10" t="s">
        <v>89</v>
      </c>
      <c r="F10" t="s">
        <v>90</v>
      </c>
      <c r="G10" t="s">
        <v>89</v>
      </c>
      <c r="H10" t="s">
        <v>90</v>
      </c>
      <c r="I10" t="s">
        <v>179</v>
      </c>
    </row>
    <row r="11" spans="1:9" x14ac:dyDescent="0.35">
      <c r="A11" t="s">
        <v>28</v>
      </c>
      <c r="B11" t="s">
        <v>29</v>
      </c>
      <c r="C11" t="s">
        <v>30</v>
      </c>
      <c r="D11" s="22">
        <v>113.77</v>
      </c>
      <c r="E11" t="s">
        <v>91</v>
      </c>
      <c r="F11" t="s">
        <v>92</v>
      </c>
      <c r="G11" t="s">
        <v>141</v>
      </c>
      <c r="H11" t="s">
        <v>142</v>
      </c>
      <c r="I11" t="s">
        <v>180</v>
      </c>
    </row>
    <row r="12" spans="1:9" x14ac:dyDescent="0.35">
      <c r="A12" t="s">
        <v>31</v>
      </c>
      <c r="B12" t="s">
        <v>32</v>
      </c>
      <c r="C12" t="s">
        <v>15</v>
      </c>
      <c r="D12" s="23">
        <v>879</v>
      </c>
      <c r="E12" s="13">
        <v>56</v>
      </c>
      <c r="F12" t="s">
        <v>93</v>
      </c>
      <c r="G12" t="s">
        <v>137</v>
      </c>
      <c r="H12" t="s">
        <v>138</v>
      </c>
      <c r="I12" t="s">
        <v>181</v>
      </c>
    </row>
    <row r="13" spans="1:9" x14ac:dyDescent="0.35">
      <c r="A13" t="s">
        <v>33</v>
      </c>
      <c r="B13" t="s">
        <v>34</v>
      </c>
      <c r="C13" t="s">
        <v>12</v>
      </c>
      <c r="D13" s="22">
        <v>344.1</v>
      </c>
      <c r="E13" t="s">
        <v>94</v>
      </c>
      <c r="F13" t="s">
        <v>95</v>
      </c>
      <c r="G13" t="s">
        <v>135</v>
      </c>
      <c r="H13" t="s">
        <v>136</v>
      </c>
      <c r="I13" t="s">
        <v>182</v>
      </c>
    </row>
    <row r="14" spans="1:9" x14ac:dyDescent="0.35">
      <c r="A14" t="s">
        <v>35</v>
      </c>
      <c r="B14" t="s">
        <v>36</v>
      </c>
      <c r="C14" t="s">
        <v>18</v>
      </c>
      <c r="D14" s="22">
        <v>195.09</v>
      </c>
      <c r="E14" t="s">
        <v>96</v>
      </c>
      <c r="F14" t="s">
        <v>97</v>
      </c>
      <c r="G14" t="s">
        <v>139</v>
      </c>
      <c r="H14" t="s">
        <v>140</v>
      </c>
      <c r="I14" t="s">
        <v>183</v>
      </c>
    </row>
    <row r="15" spans="1:9" x14ac:dyDescent="0.35">
      <c r="A15" t="s">
        <v>37</v>
      </c>
      <c r="B15" t="s">
        <v>38</v>
      </c>
      <c r="C15" t="s">
        <v>6</v>
      </c>
      <c r="D15" s="22">
        <v>296.20999999999998</v>
      </c>
      <c r="E15" t="s">
        <v>98</v>
      </c>
      <c r="F15" t="s">
        <v>99</v>
      </c>
      <c r="G15" t="s">
        <v>131</v>
      </c>
      <c r="H15" t="s">
        <v>132</v>
      </c>
      <c r="I15" t="s">
        <v>184</v>
      </c>
    </row>
    <row r="16" spans="1:9" x14ac:dyDescent="0.35">
      <c r="A16" t="s">
        <v>39</v>
      </c>
      <c r="B16" t="s">
        <v>40</v>
      </c>
      <c r="C16" t="s">
        <v>9</v>
      </c>
      <c r="D16" s="22">
        <v>206.95</v>
      </c>
      <c r="E16" t="s">
        <v>100</v>
      </c>
      <c r="F16" t="s">
        <v>101</v>
      </c>
      <c r="G16" t="s">
        <v>133</v>
      </c>
      <c r="H16" t="s">
        <v>134</v>
      </c>
      <c r="I16" t="s">
        <v>185</v>
      </c>
    </row>
    <row r="17" spans="1:9" x14ac:dyDescent="0.35">
      <c r="A17" t="s">
        <v>41</v>
      </c>
      <c r="B17" t="s">
        <v>42</v>
      </c>
      <c r="C17" t="s">
        <v>15</v>
      </c>
      <c r="D17" s="22">
        <v>320.77</v>
      </c>
      <c r="E17" t="s">
        <v>102</v>
      </c>
      <c r="F17" t="s">
        <v>103</v>
      </c>
      <c r="G17" t="s">
        <v>137</v>
      </c>
      <c r="H17" t="s">
        <v>138</v>
      </c>
      <c r="I17" t="s">
        <v>186</v>
      </c>
    </row>
    <row r="18" spans="1:9" x14ac:dyDescent="0.35">
      <c r="A18" t="s">
        <v>43</v>
      </c>
      <c r="B18" t="s">
        <v>44</v>
      </c>
      <c r="C18" t="s">
        <v>45</v>
      </c>
      <c r="D18" s="22">
        <v>69.91</v>
      </c>
      <c r="E18" t="s">
        <v>104</v>
      </c>
      <c r="F18" t="s">
        <v>105</v>
      </c>
      <c r="G18" t="s">
        <v>143</v>
      </c>
      <c r="H18" t="s">
        <v>144</v>
      </c>
      <c r="I18" t="s">
        <v>187</v>
      </c>
    </row>
    <row r="19" spans="1:9" x14ac:dyDescent="0.35">
      <c r="A19" t="s">
        <v>46</v>
      </c>
      <c r="B19" t="s">
        <v>47</v>
      </c>
      <c r="C19" t="s">
        <v>12</v>
      </c>
      <c r="D19" s="22">
        <v>305.63</v>
      </c>
      <c r="E19" t="s">
        <v>106</v>
      </c>
      <c r="F19" t="s">
        <v>107</v>
      </c>
      <c r="G19" t="s">
        <v>135</v>
      </c>
      <c r="H19" t="s">
        <v>136</v>
      </c>
      <c r="I19" t="s">
        <v>188</v>
      </c>
    </row>
    <row r="20" spans="1:9" x14ac:dyDescent="0.35">
      <c r="A20" t="s">
        <v>48</v>
      </c>
      <c r="B20" t="s">
        <v>49</v>
      </c>
      <c r="C20" t="s">
        <v>18</v>
      </c>
      <c r="D20" s="22">
        <v>160.1</v>
      </c>
      <c r="E20" t="s">
        <v>108</v>
      </c>
      <c r="F20" t="s">
        <v>109</v>
      </c>
      <c r="G20" t="s">
        <v>139</v>
      </c>
      <c r="H20" t="s">
        <v>140</v>
      </c>
      <c r="I20" t="s">
        <v>189</v>
      </c>
    </row>
    <row r="21" spans="1:9" x14ac:dyDescent="0.35">
      <c r="A21" t="s">
        <v>50</v>
      </c>
      <c r="B21" t="s">
        <v>51</v>
      </c>
      <c r="C21" t="s">
        <v>9</v>
      </c>
      <c r="D21" s="22">
        <v>105.26</v>
      </c>
      <c r="E21" t="s">
        <v>110</v>
      </c>
      <c r="F21" t="s">
        <v>111</v>
      </c>
      <c r="G21" t="s">
        <v>133</v>
      </c>
      <c r="H21" t="s">
        <v>134</v>
      </c>
      <c r="I21" t="s">
        <v>190</v>
      </c>
    </row>
    <row r="22" spans="1:9" x14ac:dyDescent="0.35">
      <c r="A22" t="s">
        <v>52</v>
      </c>
      <c r="B22" t="s">
        <v>53</v>
      </c>
      <c r="C22" t="s">
        <v>6</v>
      </c>
      <c r="D22" s="22">
        <v>483.62</v>
      </c>
      <c r="E22" t="s">
        <v>104</v>
      </c>
      <c r="F22" t="s">
        <v>112</v>
      </c>
      <c r="G22" t="s">
        <v>131</v>
      </c>
      <c r="H22" t="s">
        <v>132</v>
      </c>
      <c r="I22" t="s">
        <v>191</v>
      </c>
    </row>
    <row r="23" spans="1:9" x14ac:dyDescent="0.35">
      <c r="A23" t="s">
        <v>54</v>
      </c>
      <c r="B23" t="s">
        <v>55</v>
      </c>
      <c r="C23" t="s">
        <v>12</v>
      </c>
      <c r="D23" s="22">
        <v>63.71</v>
      </c>
      <c r="E23" t="s">
        <v>113</v>
      </c>
      <c r="F23" t="s">
        <v>114</v>
      </c>
      <c r="G23" t="s">
        <v>135</v>
      </c>
      <c r="H23" t="s">
        <v>136</v>
      </c>
      <c r="I23" t="s">
        <v>192</v>
      </c>
    </row>
    <row r="24" spans="1:9" x14ac:dyDescent="0.35">
      <c r="A24" t="s">
        <v>56</v>
      </c>
      <c r="B24" t="s">
        <v>57</v>
      </c>
      <c r="C24" t="s">
        <v>6</v>
      </c>
      <c r="D24" s="22">
        <v>186.5</v>
      </c>
      <c r="E24" t="s">
        <v>115</v>
      </c>
      <c r="F24" t="s">
        <v>116</v>
      </c>
      <c r="G24" t="s">
        <v>131</v>
      </c>
      <c r="H24" t="s">
        <v>132</v>
      </c>
      <c r="I24" t="s">
        <v>193</v>
      </c>
    </row>
    <row r="25" spans="1:9" x14ac:dyDescent="0.35">
      <c r="A25" t="s">
        <v>58</v>
      </c>
      <c r="B25" t="s">
        <v>59</v>
      </c>
      <c r="C25" t="s">
        <v>45</v>
      </c>
      <c r="D25" s="22">
        <v>143.31</v>
      </c>
      <c r="E25" t="s">
        <v>117</v>
      </c>
      <c r="F25" t="s">
        <v>118</v>
      </c>
      <c r="G25" t="s">
        <v>143</v>
      </c>
      <c r="H25" t="s">
        <v>144</v>
      </c>
      <c r="I25" t="s">
        <v>194</v>
      </c>
    </row>
    <row r="26" spans="1:9" x14ac:dyDescent="0.35">
      <c r="A26" t="s">
        <v>60</v>
      </c>
      <c r="B26" t="s">
        <v>61</v>
      </c>
      <c r="C26" t="s">
        <v>62</v>
      </c>
      <c r="D26" s="22">
        <v>324.02999999999997</v>
      </c>
      <c r="E26" t="s">
        <v>119</v>
      </c>
      <c r="F26" t="s">
        <v>120</v>
      </c>
      <c r="G26" t="s">
        <v>119</v>
      </c>
      <c r="H26" t="s">
        <v>120</v>
      </c>
      <c r="I26" t="s">
        <v>195</v>
      </c>
    </row>
    <row r="27" spans="1:9" x14ac:dyDescent="0.35">
      <c r="A27" t="s">
        <v>63</v>
      </c>
      <c r="B27" t="s">
        <v>64</v>
      </c>
      <c r="C27" t="s">
        <v>15</v>
      </c>
      <c r="D27" s="22">
        <v>290.06</v>
      </c>
      <c r="E27" t="s">
        <v>121</v>
      </c>
      <c r="F27" t="s">
        <v>122</v>
      </c>
      <c r="G27" t="s">
        <v>137</v>
      </c>
      <c r="H27" t="s">
        <v>138</v>
      </c>
      <c r="I27" t="s">
        <v>196</v>
      </c>
    </row>
    <row r="28" spans="1:9" x14ac:dyDescent="0.35">
      <c r="A28" t="s">
        <v>65</v>
      </c>
      <c r="B28" t="s">
        <v>66</v>
      </c>
      <c r="C28" t="s">
        <v>9</v>
      </c>
      <c r="D28" s="22">
        <v>330.11</v>
      </c>
      <c r="E28" t="s">
        <v>123</v>
      </c>
      <c r="F28" t="s">
        <v>124</v>
      </c>
      <c r="G28" t="s">
        <v>133</v>
      </c>
      <c r="H28" t="s">
        <v>134</v>
      </c>
      <c r="I28" t="s">
        <v>197</v>
      </c>
    </row>
    <row r="29" spans="1:9" x14ac:dyDescent="0.35">
      <c r="A29" t="s">
        <v>67</v>
      </c>
      <c r="B29" t="s">
        <v>68</v>
      </c>
      <c r="C29" t="s">
        <v>15</v>
      </c>
      <c r="D29" s="22">
        <v>350.71</v>
      </c>
      <c r="E29" t="s">
        <v>125</v>
      </c>
      <c r="F29" t="s">
        <v>126</v>
      </c>
      <c r="G29" t="s">
        <v>137</v>
      </c>
      <c r="H29" t="s">
        <v>138</v>
      </c>
      <c r="I29" t="s">
        <v>198</v>
      </c>
    </row>
    <row r="30" spans="1:9" x14ac:dyDescent="0.35">
      <c r="A30" t="s">
        <v>69</v>
      </c>
      <c r="B30" t="s">
        <v>70</v>
      </c>
      <c r="C30" t="s">
        <v>30</v>
      </c>
      <c r="D30" s="22">
        <v>40.04</v>
      </c>
      <c r="E30" t="s">
        <v>127</v>
      </c>
      <c r="F30" t="s">
        <v>128</v>
      </c>
      <c r="G30" t="s">
        <v>141</v>
      </c>
      <c r="H30" t="s">
        <v>142</v>
      </c>
      <c r="I30" t="s">
        <v>199</v>
      </c>
    </row>
    <row r="31" spans="1:9" x14ac:dyDescent="0.35">
      <c r="A31" t="s">
        <v>71</v>
      </c>
      <c r="B31" t="s">
        <v>72</v>
      </c>
      <c r="C31" t="s">
        <v>45</v>
      </c>
      <c r="D31" s="22">
        <v>111.41</v>
      </c>
      <c r="E31" t="s">
        <v>129</v>
      </c>
      <c r="F31" t="s">
        <v>130</v>
      </c>
      <c r="G31" t="s">
        <v>143</v>
      </c>
      <c r="H31" t="s">
        <v>144</v>
      </c>
      <c r="I31" t="s">
        <v>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B7A63-83C2-4F3F-BA1B-22B07465C8BB}">
  <dimension ref="A1:D17"/>
  <sheetViews>
    <sheetView zoomScale="66" workbookViewId="0">
      <selection activeCell="C16" sqref="C16"/>
    </sheetView>
  </sheetViews>
  <sheetFormatPr defaultRowHeight="14.5" x14ac:dyDescent="0.35"/>
  <cols>
    <col min="2" max="2" width="30.81640625" customWidth="1"/>
    <col min="3" max="3" width="18.90625" customWidth="1"/>
    <col min="4" max="4" width="19.26953125" customWidth="1"/>
  </cols>
  <sheetData>
    <row r="1" spans="1:4" ht="34" customHeight="1" x14ac:dyDescent="0.35">
      <c r="A1" s="5" t="s">
        <v>149</v>
      </c>
      <c r="B1" s="5" t="s">
        <v>166</v>
      </c>
      <c r="C1" s="5" t="s">
        <v>167</v>
      </c>
      <c r="D1" s="5" t="s">
        <v>169</v>
      </c>
    </row>
    <row r="2" spans="1:4" x14ac:dyDescent="0.35">
      <c r="A2" s="10">
        <v>2010</v>
      </c>
      <c r="B2" s="12">
        <v>0.18</v>
      </c>
      <c r="C2" s="12">
        <v>1.6</v>
      </c>
      <c r="D2" s="12">
        <v>2.7</v>
      </c>
    </row>
    <row r="3" spans="1:4" x14ac:dyDescent="0.35">
      <c r="A3" s="10">
        <v>2011</v>
      </c>
      <c r="B3" s="12">
        <v>0.1</v>
      </c>
      <c r="C3" s="12">
        <v>3.2</v>
      </c>
      <c r="D3" s="12">
        <v>1.6</v>
      </c>
    </row>
    <row r="4" spans="1:4" x14ac:dyDescent="0.35">
      <c r="A4" s="10">
        <v>2012</v>
      </c>
      <c r="B4" s="12">
        <v>0.14000000000000001</v>
      </c>
      <c r="C4" s="12">
        <v>2.1</v>
      </c>
      <c r="D4" s="12">
        <v>2.2999999999999998</v>
      </c>
    </row>
    <row r="5" spans="1:4" x14ac:dyDescent="0.35">
      <c r="A5" s="10">
        <v>2013</v>
      </c>
      <c r="B5" s="12">
        <v>0.11</v>
      </c>
      <c r="C5" s="12">
        <v>1.5</v>
      </c>
      <c r="D5" s="12">
        <v>1.8</v>
      </c>
    </row>
    <row r="6" spans="1:4" x14ac:dyDescent="0.35">
      <c r="A6" s="10">
        <v>2014</v>
      </c>
      <c r="B6" s="12">
        <v>0.09</v>
      </c>
      <c r="C6" s="12">
        <v>1.6</v>
      </c>
      <c r="D6" s="12">
        <v>2.2999999999999998</v>
      </c>
    </row>
    <row r="7" spans="1:4" x14ac:dyDescent="0.35">
      <c r="A7" s="10">
        <v>2015</v>
      </c>
      <c r="B7" s="12">
        <v>0.13</v>
      </c>
      <c r="C7" s="12">
        <v>0.1</v>
      </c>
      <c r="D7" s="12">
        <v>2.7</v>
      </c>
    </row>
    <row r="8" spans="1:4" x14ac:dyDescent="0.35">
      <c r="A8" s="10">
        <v>2016</v>
      </c>
      <c r="B8" s="12">
        <v>0.39</v>
      </c>
      <c r="C8" s="12">
        <v>1.3</v>
      </c>
      <c r="D8" s="12">
        <v>1.7</v>
      </c>
    </row>
    <row r="9" spans="1:4" x14ac:dyDescent="0.35">
      <c r="A9" s="10">
        <v>2017</v>
      </c>
      <c r="B9" s="12">
        <v>1</v>
      </c>
      <c r="C9" s="12">
        <v>2.1</v>
      </c>
      <c r="D9" s="12">
        <v>2.2000000000000002</v>
      </c>
    </row>
    <row r="10" spans="1:4" x14ac:dyDescent="0.35">
      <c r="A10" s="10">
        <v>2018</v>
      </c>
      <c r="B10" s="12">
        <v>1.83</v>
      </c>
      <c r="C10" s="12">
        <v>2.4</v>
      </c>
      <c r="D10" s="12">
        <v>2.9</v>
      </c>
    </row>
    <row r="11" spans="1:4" x14ac:dyDescent="0.35">
      <c r="A11" s="10">
        <v>2019</v>
      </c>
      <c r="B11" s="12">
        <v>2.16</v>
      </c>
      <c r="C11" s="12">
        <v>1.8</v>
      </c>
      <c r="D11" s="12">
        <v>2.2999999999999998</v>
      </c>
    </row>
    <row r="12" spans="1:4" x14ac:dyDescent="0.35">
      <c r="A12" s="10">
        <v>2020</v>
      </c>
      <c r="B12" s="12">
        <v>0.37</v>
      </c>
      <c r="C12" s="12">
        <v>1.2</v>
      </c>
      <c r="D12" s="12">
        <v>-2.8</v>
      </c>
    </row>
    <row r="13" spans="1:4" x14ac:dyDescent="0.35">
      <c r="A13" s="10">
        <v>2021</v>
      </c>
      <c r="B13" s="12">
        <v>0.08</v>
      </c>
      <c r="C13" s="12">
        <v>4.7</v>
      </c>
      <c r="D13" s="12">
        <v>5.9</v>
      </c>
    </row>
    <row r="14" spans="1:4" x14ac:dyDescent="0.35">
      <c r="A14" s="10">
        <v>2022</v>
      </c>
      <c r="B14" s="12">
        <v>1.69</v>
      </c>
      <c r="C14" s="12">
        <v>8</v>
      </c>
      <c r="D14" s="12">
        <v>1.9</v>
      </c>
    </row>
    <row r="15" spans="1:4" x14ac:dyDescent="0.35">
      <c r="A15" s="10">
        <v>2023</v>
      </c>
      <c r="B15" s="12">
        <v>5.03</v>
      </c>
      <c r="C15" s="12">
        <v>4.0999999999999996</v>
      </c>
      <c r="D15" s="12">
        <v>2.5</v>
      </c>
    </row>
    <row r="16" spans="1:4" x14ac:dyDescent="0.35">
      <c r="A16" s="10">
        <v>2024</v>
      </c>
      <c r="B16" s="12">
        <v>4.33</v>
      </c>
      <c r="C16" s="12">
        <v>2.9</v>
      </c>
      <c r="D16" s="12">
        <v>2.8</v>
      </c>
    </row>
    <row r="17" spans="1:4" x14ac:dyDescent="0.35">
      <c r="A17" s="10">
        <v>2025</v>
      </c>
      <c r="B17" s="12">
        <v>3.75</v>
      </c>
      <c r="C17" s="12">
        <v>2.7</v>
      </c>
      <c r="D17" s="12">
        <v>4.3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CB162-6D0E-4896-B5BA-7728F13899D4}">
  <dimension ref="A1:Q17"/>
  <sheetViews>
    <sheetView zoomScale="63" workbookViewId="0">
      <selection activeCell="E13" sqref="E13"/>
    </sheetView>
  </sheetViews>
  <sheetFormatPr defaultRowHeight="14.5" x14ac:dyDescent="0.35"/>
  <cols>
    <col min="1" max="1" width="19.36328125" customWidth="1"/>
    <col min="2" max="2" width="20.81640625" customWidth="1"/>
    <col min="3" max="3" width="22.90625" customWidth="1"/>
    <col min="14" max="14" width="4" customWidth="1"/>
    <col min="15" max="15" width="11.36328125" customWidth="1"/>
    <col min="16" max="16" width="20.81640625" customWidth="1"/>
    <col min="17" max="17" width="25.36328125" customWidth="1"/>
  </cols>
  <sheetData>
    <row r="1" spans="1:17" ht="32" customHeight="1" x14ac:dyDescent="0.35">
      <c r="A1" s="9" t="s">
        <v>149</v>
      </c>
      <c r="B1" s="9" t="s">
        <v>160</v>
      </c>
      <c r="C1" s="9" t="s">
        <v>159</v>
      </c>
      <c r="D1" s="9"/>
      <c r="O1" t="s">
        <v>149</v>
      </c>
      <c r="P1" t="s">
        <v>160</v>
      </c>
      <c r="Q1" t="s">
        <v>168</v>
      </c>
    </row>
    <row r="2" spans="1:17" x14ac:dyDescent="0.35">
      <c r="A2" s="10">
        <v>2010</v>
      </c>
      <c r="B2" s="11">
        <v>0.128</v>
      </c>
      <c r="C2" s="11">
        <v>0.1089</v>
      </c>
      <c r="D2" s="10"/>
      <c r="O2" t="s">
        <v>145</v>
      </c>
      <c r="P2" s="2">
        <f>SUM(B2:B6)/COUNTA(A2:A6)</f>
        <v>0.1348</v>
      </c>
      <c r="Q2" s="2">
        <f>SUM(C2:C6)/COUNTA(A2:A6)</f>
        <v>0.10762000000000001</v>
      </c>
    </row>
    <row r="3" spans="1:17" x14ac:dyDescent="0.35">
      <c r="A3" s="10">
        <v>2011</v>
      </c>
      <c r="B3" s="11">
        <v>0.13100000000000001</v>
      </c>
      <c r="C3" s="11">
        <v>5.91E-2</v>
      </c>
      <c r="D3" s="10"/>
      <c r="O3" t="s">
        <v>146</v>
      </c>
      <c r="P3" s="2">
        <f>SUM(B9:B11)/COUNTA(A9:A11)</f>
        <v>0.16766666666666666</v>
      </c>
      <c r="Q3" s="2">
        <f>SUM(C9:C11)/COUNTA(A9:A11)</f>
        <v>0.14083333333333334</v>
      </c>
    </row>
    <row r="4" spans="1:17" x14ac:dyDescent="0.35">
      <c r="A4" s="10">
        <v>2012</v>
      </c>
      <c r="B4" s="11">
        <v>0.12400000000000001</v>
      </c>
      <c r="C4" s="11">
        <v>8.2100000000000006E-2</v>
      </c>
      <c r="D4" s="10"/>
      <c r="O4" t="s">
        <v>147</v>
      </c>
      <c r="P4" s="2">
        <f>SUM(B12:B13)/COUNTA(A12:A13)</f>
        <v>0.19950000000000001</v>
      </c>
      <c r="Q4" s="2">
        <f>SUM(C12:C13)/COUNTA(A12:A13)</f>
        <v>0.12834999999999999</v>
      </c>
    </row>
    <row r="5" spans="1:17" x14ac:dyDescent="0.35">
      <c r="A5" s="10">
        <v>2013</v>
      </c>
      <c r="B5" s="11">
        <v>0.13900000000000001</v>
      </c>
      <c r="C5" s="11">
        <v>0.2225</v>
      </c>
      <c r="D5" s="10"/>
      <c r="O5" t="s">
        <v>148</v>
      </c>
      <c r="P5" s="2">
        <f>SUM(B16:B17)/COUNTA(A16:A17)</f>
        <v>0.19650000000000001</v>
      </c>
      <c r="Q5" s="2">
        <f>SUM(C16:C17)/COUNTA(A16:A17)</f>
        <v>0.14815</v>
      </c>
    </row>
    <row r="6" spans="1:17" x14ac:dyDescent="0.35">
      <c r="A6" s="10">
        <v>2014</v>
      </c>
      <c r="B6" s="11">
        <v>0.152</v>
      </c>
      <c r="C6" s="11">
        <v>6.5500000000000003E-2</v>
      </c>
      <c r="D6" s="10"/>
    </row>
    <row r="7" spans="1:17" x14ac:dyDescent="0.35">
      <c r="A7" s="10">
        <v>2015</v>
      </c>
      <c r="B7" s="11">
        <v>0.158</v>
      </c>
      <c r="C7" s="11">
        <v>-1.9599999999999999E-2</v>
      </c>
      <c r="D7" s="10"/>
    </row>
    <row r="8" spans="1:17" x14ac:dyDescent="0.35">
      <c r="A8" s="10">
        <v>2016</v>
      </c>
      <c r="B8" s="11">
        <v>0.16500000000000001</v>
      </c>
      <c r="C8" s="11">
        <v>0.15970000000000001</v>
      </c>
      <c r="D8" s="10"/>
    </row>
    <row r="9" spans="1:17" x14ac:dyDescent="0.35">
      <c r="A9" s="10">
        <v>2017</v>
      </c>
      <c r="B9" s="11">
        <v>0.17800000000000002</v>
      </c>
      <c r="C9" s="11">
        <v>0.2712</v>
      </c>
      <c r="D9" s="10"/>
    </row>
    <row r="10" spans="1:17" x14ac:dyDescent="0.35">
      <c r="A10" s="10">
        <v>2018</v>
      </c>
      <c r="B10" s="11">
        <v>0.182</v>
      </c>
      <c r="C10" s="11">
        <v>-7.3599999999999999E-2</v>
      </c>
      <c r="D10" s="10"/>
    </row>
    <row r="11" spans="1:17" x14ac:dyDescent="0.35">
      <c r="A11" s="10">
        <v>2019</v>
      </c>
      <c r="B11" s="11">
        <v>0.14300000000000002</v>
      </c>
      <c r="C11" s="11">
        <v>0.22489999999999999</v>
      </c>
      <c r="D11" s="10"/>
    </row>
    <row r="12" spans="1:17" x14ac:dyDescent="0.35">
      <c r="A12" s="10">
        <v>2020</v>
      </c>
      <c r="B12" s="11">
        <v>0.185</v>
      </c>
      <c r="C12" s="11">
        <v>5.8799999999999998E-2</v>
      </c>
      <c r="D12" s="10"/>
    </row>
    <row r="13" spans="1:17" x14ac:dyDescent="0.35">
      <c r="A13" s="10">
        <v>2021</v>
      </c>
      <c r="B13" s="11">
        <v>0.214</v>
      </c>
      <c r="C13" s="11">
        <v>0.19789999999999999</v>
      </c>
      <c r="D13" s="10"/>
    </row>
    <row r="14" spans="1:17" x14ac:dyDescent="0.35">
      <c r="A14" s="10">
        <v>2022</v>
      </c>
      <c r="B14" s="11">
        <v>0.18100000000000002</v>
      </c>
      <c r="C14" s="11">
        <v>-9.5500000000000002E-2</v>
      </c>
      <c r="D14" s="10"/>
    </row>
    <row r="15" spans="1:17" x14ac:dyDescent="0.35">
      <c r="A15" s="10">
        <v>2023</v>
      </c>
      <c r="B15" s="11">
        <v>0.17500000000000002</v>
      </c>
      <c r="C15" s="11">
        <v>0.13769999999999999</v>
      </c>
      <c r="D15" s="10"/>
    </row>
    <row r="16" spans="1:17" x14ac:dyDescent="0.35">
      <c r="A16" s="10">
        <v>2024</v>
      </c>
      <c r="B16" s="11">
        <v>0.192</v>
      </c>
      <c r="C16" s="11">
        <v>0.1399</v>
      </c>
      <c r="D16" s="10"/>
    </row>
    <row r="17" spans="1:4" x14ac:dyDescent="0.35">
      <c r="A17" s="10">
        <v>2025</v>
      </c>
      <c r="B17" s="11">
        <v>0.20100000000000001</v>
      </c>
      <c r="C17" s="11">
        <v>0.15640000000000001</v>
      </c>
      <c r="D17" s="10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0633-401A-4DDE-9A00-7698BCF9BF4B}">
  <dimension ref="A1:A41"/>
  <sheetViews>
    <sheetView topLeftCell="A13" zoomScale="53" workbookViewId="0">
      <selection activeCell="A10" sqref="A10"/>
    </sheetView>
  </sheetViews>
  <sheetFormatPr defaultRowHeight="15.5" x14ac:dyDescent="0.35"/>
  <cols>
    <col min="1" max="1" width="38" style="17" customWidth="1"/>
    <col min="2" max="16384" width="8.7265625" style="15"/>
  </cols>
  <sheetData>
    <row r="1" spans="1:1" x14ac:dyDescent="0.3">
      <c r="A1" s="16" t="s">
        <v>206</v>
      </c>
    </row>
    <row r="3" spans="1:1" x14ac:dyDescent="0.35">
      <c r="A3" s="18" t="s">
        <v>214</v>
      </c>
    </row>
    <row r="4" spans="1:1" x14ac:dyDescent="0.3">
      <c r="A4" s="19"/>
    </row>
    <row r="5" spans="1:1" x14ac:dyDescent="0.3">
      <c r="A5" s="20" t="s">
        <v>201</v>
      </c>
    </row>
    <row r="6" spans="1:1" x14ac:dyDescent="0.3">
      <c r="A6" s="19"/>
    </row>
    <row r="7" spans="1:1" x14ac:dyDescent="0.3">
      <c r="A7" s="20" t="s">
        <v>202</v>
      </c>
    </row>
    <row r="11" spans="1:1" x14ac:dyDescent="0.3">
      <c r="A11" s="16" t="s">
        <v>207</v>
      </c>
    </row>
    <row r="13" spans="1:1" x14ac:dyDescent="0.35">
      <c r="A13" s="18" t="s">
        <v>215</v>
      </c>
    </row>
    <row r="14" spans="1:1" x14ac:dyDescent="0.3">
      <c r="A14" s="19"/>
    </row>
    <row r="15" spans="1:1" x14ac:dyDescent="0.3">
      <c r="A15" s="20" t="s">
        <v>203</v>
      </c>
    </row>
    <row r="16" spans="1:1" x14ac:dyDescent="0.3">
      <c r="A16" s="19"/>
    </row>
    <row r="17" spans="1:1" x14ac:dyDescent="0.3">
      <c r="A17" s="20" t="s">
        <v>204</v>
      </c>
    </row>
    <row r="18" spans="1:1" x14ac:dyDescent="0.3">
      <c r="A18" s="19"/>
    </row>
    <row r="19" spans="1:1" x14ac:dyDescent="0.3">
      <c r="A19" s="20" t="s">
        <v>205</v>
      </c>
    </row>
    <row r="23" spans="1:1" x14ac:dyDescent="0.3">
      <c r="A23" s="16" t="s">
        <v>208</v>
      </c>
    </row>
    <row r="25" spans="1:1" x14ac:dyDescent="0.35">
      <c r="A25" s="18" t="s">
        <v>216</v>
      </c>
    </row>
    <row r="26" spans="1:1" x14ac:dyDescent="0.3">
      <c r="A26" s="19"/>
    </row>
    <row r="27" spans="1:1" x14ac:dyDescent="0.3">
      <c r="A27" s="20" t="s">
        <v>209</v>
      </c>
    </row>
    <row r="28" spans="1:1" x14ac:dyDescent="0.3">
      <c r="A28" s="19"/>
    </row>
    <row r="29" spans="1:1" x14ac:dyDescent="0.3">
      <c r="A29" s="21" t="s">
        <v>217</v>
      </c>
    </row>
    <row r="33" spans="1:1" x14ac:dyDescent="0.3">
      <c r="A33" s="16" t="s">
        <v>210</v>
      </c>
    </row>
    <row r="35" spans="1:1" x14ac:dyDescent="0.35">
      <c r="A35" s="18" t="s">
        <v>218</v>
      </c>
    </row>
    <row r="36" spans="1:1" x14ac:dyDescent="0.3">
      <c r="A36" s="19"/>
    </row>
    <row r="37" spans="1:1" x14ac:dyDescent="0.3">
      <c r="A37" s="20" t="s">
        <v>211</v>
      </c>
    </row>
    <row r="38" spans="1:1" x14ac:dyDescent="0.3">
      <c r="A38" s="19"/>
    </row>
    <row r="39" spans="1:1" x14ac:dyDescent="0.3">
      <c r="A39" s="20" t="s">
        <v>212</v>
      </c>
    </row>
    <row r="40" spans="1:1" x14ac:dyDescent="0.3">
      <c r="A40" s="19"/>
    </row>
    <row r="41" spans="1:1" x14ac:dyDescent="0.3">
      <c r="A41" s="20" t="s">
        <v>213</v>
      </c>
    </row>
  </sheetData>
  <hyperlinks>
    <hyperlink ref="A5" r:id="rId1" display="https://finance.yahoo.com/quote/%5EDJI/history/" xr:uid="{C4859775-83B2-4E77-AE89-FD5C851E8ACF}"/>
    <hyperlink ref="A7" r:id="rId2" display="https://www.google.com/search?q=https://stooq.com/q/d/l/%3Fs%3D%5Edji%26i%3Dd" xr:uid="{A4A9B0FF-7287-4F24-9414-71AFD8F03F36}"/>
    <hyperlink ref="A15" r:id="rId3" display="https://www.spglobal.com/spdji/en/indices/equity/dow-jones-industrial-average/" xr:uid="{94ED68D5-40F2-455B-92A9-D4B82848AB41}"/>
    <hyperlink ref="A17" r:id="rId4" display="https://en.wikipedia.org/wiki/Dow_Jones_Industrial_Average" xr:uid="{29FE0A40-9BA2-44C0-BC6F-650F2CECC638}"/>
    <hyperlink ref="A19" r:id="rId5" display="https://finance.yahoo.com/quote/XLK/history/" xr:uid="{22AAFE48-BFE8-4A30-9B95-2AAA09628E42}"/>
    <hyperlink ref="A27" r:id="rId6" display="https://fred.stlouisfed.org/series/FEDFUNDS" xr:uid="{5849F267-B98A-40EF-A874-2AACFAD64142}"/>
    <hyperlink ref="A37" r:id="rId7" display="https://www.spglobal.com/spdji/en/indices/equity/dow-jones-industrial-average/" xr:uid="{E6BFF0B8-725D-4153-9A59-884F0934E619}"/>
    <hyperlink ref="A39" r:id="rId8" display="https://finance.yahoo.com/quote/%5EDJI/history/" xr:uid="{BD43DD71-748C-499C-94A6-239E700BBAC5}"/>
    <hyperlink ref="A41" r:id="rId9" display="https://www.econ.yale.edu/~shiller/data.htm" xr:uid="{E191C9B4-30E3-43A6-B692-CAAB8892D5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Performance Historique</vt:lpstr>
      <vt:lpstr>Composantes DOW 30</vt:lpstr>
      <vt:lpstr>Indicateurs macroéconomiques</vt:lpstr>
      <vt:lpstr>Analyse DOW RP</vt:lpstr>
      <vt:lpstr>Sources</vt:lpstr>
      <vt:lpstr>'Performance Historique'!Print_Area</vt:lpstr>
      <vt:lpstr>PrixCloture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Plotnikov</dc:creator>
  <cp:lastModifiedBy>Andrii Plotnikov</cp:lastModifiedBy>
  <dcterms:created xsi:type="dcterms:W3CDTF">2026-01-16T15:11:55Z</dcterms:created>
  <dcterms:modified xsi:type="dcterms:W3CDTF">2026-03-13T15:23:30Z</dcterms:modified>
</cp:coreProperties>
</file>